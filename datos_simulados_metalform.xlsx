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21D61B-5C9C-4E30-9413-13B720BEF261}" xr6:coauthVersionLast="37" xr6:coauthVersionMax="37" xr10:uidLastSave="{00000000-0000-0000-0000-000000000000}"/>
  <bookViews>
    <workbookView xWindow="0" yWindow="0" windowWidth="17256" windowHeight="5640" activeTab="5" xr2:uid="{00000000-000D-0000-FFFF-FFFF00000000}"/>
  </bookViews>
  <sheets>
    <sheet name="KPI_Calidad" sheetId="1" r:id="rId1"/>
    <sheet name="KPI_Cliente" sheetId="2" r:id="rId2"/>
    <sheet name="KPI_HSE" sheetId="3" r:id="rId3"/>
    <sheet name="Acciones_Correctivas" sheetId="4" r:id="rId4"/>
    <sheet name="Avance_ISO9001" sheetId="5" r:id="rId5"/>
    <sheet name="Detalle_Acciones_HSE" sheetId="7" r:id="rId6"/>
    <sheet name="Guía_PowerBI" sheetId="6" r:id="rId7"/>
  </sheets>
  <calcPr calcId="179021"/>
</workbook>
</file>

<file path=xl/calcChain.xml><?xml version="1.0" encoding="utf-8"?>
<calcChain xmlns="http://schemas.openxmlformats.org/spreadsheetml/2006/main">
  <c r="G16" i="1" l="1"/>
  <c r="K16" i="3" l="1"/>
  <c r="J16" i="3"/>
  <c r="I16" i="3"/>
  <c r="H16" i="3"/>
  <c r="G16" i="3"/>
  <c r="E16" i="3"/>
  <c r="D16" i="3"/>
  <c r="C16" i="3"/>
  <c r="F15" i="3"/>
  <c r="F14" i="3"/>
  <c r="F13" i="3"/>
  <c r="F12" i="3"/>
  <c r="F11" i="3"/>
  <c r="F10" i="3"/>
  <c r="F9" i="3"/>
  <c r="F8" i="3"/>
  <c r="F7" i="3"/>
  <c r="F6" i="3"/>
  <c r="F5" i="3"/>
  <c r="F4" i="3"/>
  <c r="F16" i="3" s="1"/>
  <c r="H16" i="2"/>
  <c r="G16" i="2"/>
  <c r="F16" i="2"/>
  <c r="D16" i="2"/>
  <c r="C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E16" i="2" s="1"/>
  <c r="K16" i="1"/>
  <c r="J16" i="1"/>
  <c r="I16" i="1"/>
  <c r="F16" i="1"/>
  <c r="D16" i="1"/>
  <c r="C16" i="1"/>
  <c r="L15" i="1"/>
  <c r="H15" i="1"/>
  <c r="E15" i="1"/>
  <c r="L14" i="1"/>
  <c r="H14" i="1"/>
  <c r="E14" i="1"/>
  <c r="L13" i="1"/>
  <c r="H13" i="1"/>
  <c r="E13" i="1"/>
  <c r="L12" i="1"/>
  <c r="H12" i="1"/>
  <c r="E12" i="1"/>
  <c r="L11" i="1"/>
  <c r="H11" i="1"/>
  <c r="E11" i="1"/>
  <c r="L10" i="1"/>
  <c r="H10" i="1"/>
  <c r="E10" i="1"/>
  <c r="L9" i="1"/>
  <c r="H9" i="1"/>
  <c r="E9" i="1"/>
  <c r="L8" i="1"/>
  <c r="H8" i="1"/>
  <c r="E8" i="1"/>
  <c r="L7" i="1"/>
  <c r="H7" i="1"/>
  <c r="E7" i="1"/>
  <c r="L6" i="1"/>
  <c r="H6" i="1"/>
  <c r="E6" i="1"/>
  <c r="L5" i="1"/>
  <c r="H5" i="1"/>
  <c r="E5" i="1"/>
  <c r="L4" i="1"/>
  <c r="L16" i="1" s="1"/>
  <c r="H4" i="1"/>
  <c r="H16" i="1" s="1"/>
  <c r="E4" i="1"/>
  <c r="E16" i="1" s="1"/>
</calcChain>
</file>

<file path=xl/sharedStrings.xml><?xml version="1.0" encoding="utf-8"?>
<sst xmlns="http://schemas.openxmlformats.org/spreadsheetml/2006/main" count="355" uniqueCount="267">
  <si>
    <t>METALFORM S.A. de C.V. — KPIs DE CALIDAD (Eje Producto + Proceso) — Datos simulados 2026</t>
  </si>
  <si>
    <t>Fuente: SGC-LMD-001 | Actualización: mensual | Responsable: Encargado de Calidad</t>
  </si>
  <si>
    <t>Mes</t>
  </si>
  <si>
    <t>Período</t>
  </si>
  <si>
    <t>Unidades producidas</t>
  </si>
  <si>
    <t>Unidades no conformes</t>
  </si>
  <si>
    <t>% No conformes (P1)
Meta ≤ 3%</t>
  </si>
  <si>
    <t>Costo retrabajo ($MXN)</t>
  </si>
  <si>
    <t>Costo producción ($MXN)</t>
  </si>
  <si>
    <t>% Costo retrabajo (P2)
Meta ≤ 2%</t>
  </si>
  <si>
    <t>Cpk proceso crítico (P3)
Meta ≥ 1.0</t>
  </si>
  <si>
    <t>Lotes pintados</t>
  </si>
  <si>
    <t>Lotes rechazados pintura</t>
  </si>
  <si>
    <t>% Rechazo pintura (P4)
Meta ≤ 1%</t>
  </si>
  <si>
    <t>Ene-2026</t>
  </si>
  <si>
    <t>Feb-2026</t>
  </si>
  <si>
    <t>Mar-2026</t>
  </si>
  <si>
    <t>Abr-2026</t>
  </si>
  <si>
    <t>May-2026</t>
  </si>
  <si>
    <t>Jun-2026</t>
  </si>
  <si>
    <t>Jul-2026</t>
  </si>
  <si>
    <t>Ago-2026</t>
  </si>
  <si>
    <t>Sep-2026</t>
  </si>
  <si>
    <t>Oct-2026</t>
  </si>
  <si>
    <t>Nov-2026</t>
  </si>
  <si>
    <t>Dic-2026</t>
  </si>
  <si>
    <t>PROMEDIO / TOTAL AÑO</t>
  </si>
  <si>
    <t>METALFORM S.A. de C.V. — KPIs DE SATISFACCIÓN DEL CLIENTE — Datos simulados 2026</t>
  </si>
  <si>
    <t>Fuente: SGC-FRM-SAT-001 | Actualización: mensual | Responsable: Calidad / Ventas</t>
  </si>
  <si>
    <t>Pedidos totales</t>
  </si>
  <si>
    <t>Pedidos a tiempo (C1)
Meta ≥ 95%</t>
  </si>
  <si>
    <t>% Entrega a tiempo</t>
  </si>
  <si>
    <t>Reclamaciones (C2)
Meta ≤ 1%</t>
  </si>
  <si>
    <t>% Reclamaciones</t>
  </si>
  <si>
    <t>Días resp. reclamación (C4)
Meta ≤ 5 días</t>
  </si>
  <si>
    <t>Satisfacción cliente (C3)
Meta ≥ 4/5</t>
  </si>
  <si>
    <t>Pendiente</t>
  </si>
  <si>
    <t>PROMEDIO / TOTAL</t>
  </si>
  <si>
    <t>En implementación</t>
  </si>
  <si>
    <t>METALFORM S.A. de C.V. — KPIs DE SEGURIDAD E HIGIENE (HSE) — Datos simulados 2026</t>
  </si>
  <si>
    <t>Fuente: HSE-FRM-CHK-XXX | Actualización: mensual | Responsable: HSE / Calidad</t>
  </si>
  <si>
    <t>% Uso correcto EPP
Meta 100%</t>
  </si>
  <si>
    <t>Check lists completados
Meta 100%</t>
  </si>
  <si>
    <t>Check lists programados</t>
  </si>
  <si>
    <t>% Check lists (I)</t>
  </si>
  <si>
    <t>Incidentes registrados
Meta 0</t>
  </si>
  <si>
    <t>Acciones correctivas abiertas</t>
  </si>
  <si>
    <t>AC cerradas en plazo
Meta ≥ 90%</t>
  </si>
  <si>
    <t>% Participación capacitación
Meta ≥ 90%</t>
  </si>
  <si>
    <t>Observaciones preventivas
Meta ≥ 10/mes</t>
  </si>
  <si>
    <t>METALFORM S.A. de C.V. — REGISTRO DE NO CONFORMIDADES Y ACCIONES CORRECTIVAS</t>
  </si>
  <si>
    <t>SGC-FRM-NC-001 | Actualización: continua | Responsable: Encargado de Calidad</t>
  </si>
  <si>
    <t>N° AC</t>
  </si>
  <si>
    <t>Fecha apertura</t>
  </si>
  <si>
    <t>Origen</t>
  </si>
  <si>
    <t>Proceso afectado</t>
  </si>
  <si>
    <t>Descripción de la no conformidad</t>
  </si>
  <si>
    <t>Causa raíz</t>
  </si>
  <si>
    <t>Acción correctiva</t>
  </si>
  <si>
    <t>Responsable</t>
  </si>
  <si>
    <t>Fecha límite</t>
  </si>
  <si>
    <t>Estado</t>
  </si>
  <si>
    <t>AC-001</t>
  </si>
  <si>
    <t>2026-01-15</t>
  </si>
  <si>
    <t>Inspección interna</t>
  </si>
  <si>
    <t>Pintura electrostática</t>
  </si>
  <si>
    <t>Lotes rechazados por presencia de sulfatos en acabado final</t>
  </si>
  <si>
    <t>Contaminación en baño de pretratamiento</t>
  </si>
  <si>
    <t>Revisar parámetros del baño, cambiar solución y establecer frecuencia de monitoreo</t>
  </si>
  <si>
    <t>Supervisor producción</t>
  </si>
  <si>
    <t>2026-02-15</t>
  </si>
  <si>
    <t>Cerrada</t>
  </si>
  <si>
    <t>AC-002</t>
  </si>
  <si>
    <t>2026-01-28</t>
  </si>
  <si>
    <t>Reclamación cliente</t>
  </si>
  <si>
    <t>Soldadura</t>
  </si>
  <si>
    <t>Exhibidor con cordón de soldadura discontinuo detectado por cliente</t>
  </si>
  <si>
    <t>Falta de instrucción de trabajo documentada para parámetros MIG</t>
  </si>
  <si>
    <t>Emitir IT-SOL-001 con parámetros de soldadura. Capacitar a operadores.</t>
  </si>
  <si>
    <t>Encargado calidad</t>
  </si>
  <si>
    <t>2026-02-28</t>
  </si>
  <si>
    <t>AC-003</t>
  </si>
  <si>
    <t>2026-02-10</t>
  </si>
  <si>
    <t>Auditoría interna</t>
  </si>
  <si>
    <t>General SGC</t>
  </si>
  <si>
    <t>No se cuenta con procedimiento de control de no conformidades</t>
  </si>
  <si>
    <t>SGC en etapa inicial — documentos pendientes de elaboración</t>
  </si>
  <si>
    <t>Elaborar SGC-PRO-NC-003 y SGC-FRM-NC-001 en plazo de 30 días</t>
  </si>
  <si>
    <t>2026-03-10</t>
  </si>
  <si>
    <t>En proceso</t>
  </si>
  <si>
    <t>AC-004</t>
  </si>
  <si>
    <t>2026-02-18</t>
  </si>
  <si>
    <t>Doblado</t>
  </si>
  <si>
    <t>Medidas fuera de tolerancia en estructura de exhibidor estándar</t>
  </si>
  <si>
    <t>Desgaste en herramental de dobladora sin programa de mantenimiento preventivo</t>
  </si>
  <si>
    <t>Implementar programa de mantenimiento preventivo para dobladoras. Calibrar herramental.</t>
  </si>
  <si>
    <t>Mantenimiento</t>
  </si>
  <si>
    <t>2026-03-18</t>
  </si>
  <si>
    <t>AC-005</t>
  </si>
  <si>
    <t>2026-03-05</t>
  </si>
  <si>
    <t>HSE — Check list</t>
  </si>
  <si>
    <t>Operadores sin protección auditiva en área de soldadura durante inspección</t>
  </si>
  <si>
    <t>Falta de supervisión y señalización insuficiente en zona</t>
  </si>
  <si>
    <t>Colocar señalización obligatoria. Reforzar capacitación EPP. Check list diario.</t>
  </si>
  <si>
    <t>Supervisor / HSE</t>
  </si>
  <si>
    <t>2026-03-20</t>
  </si>
  <si>
    <t>AC-006</t>
  </si>
  <si>
    <t>2026-03-12</t>
  </si>
  <si>
    <t>Embalaje</t>
  </si>
  <si>
    <t>Exhibidor entregado con golpe en estructura visible</t>
  </si>
  <si>
    <t>Embalaje insuficiente para transporte de larga distancia</t>
  </si>
  <si>
    <t>Rediseñar estándar de embalaje. Emitir IT-EMB-001.</t>
  </si>
  <si>
    <t>Producción / Calidad</t>
  </si>
  <si>
    <t>2026-04-12</t>
  </si>
  <si>
    <t>Abierta</t>
  </si>
  <si>
    <t>AC-007</t>
  </si>
  <si>
    <t>Reincidencia de sulfatos en 2 lotes — AC-001 no fue efectiva</t>
  </si>
  <si>
    <t>Causa raíz incompleta — proveedor de químico cambia formulación sin notificar</t>
  </si>
  <si>
    <t>Auditar proveedor. Actualizar especificación técnica del químico. Prueba de aceptación por lote.</t>
  </si>
  <si>
    <t>Calidad / Compras</t>
  </si>
  <si>
    <t>2026-04-18</t>
  </si>
  <si>
    <t>AC-008</t>
  </si>
  <si>
    <t>2026-03-22</t>
  </si>
  <si>
    <t>HSE — Observación preventiva</t>
  </si>
  <si>
    <t>Troquelado</t>
  </si>
  <si>
    <t>Guarda de troqueladora sin tornillo de fijación — riesgo de atrapamiento</t>
  </si>
  <si>
    <t>Falta de programa de inspección de guardas y partes de seguridad</t>
  </si>
  <si>
    <t>Reparación inmediata. Agregar verificación de guardas al check list diario.</t>
  </si>
  <si>
    <t>Mantenimiento / HSE</t>
  </si>
  <si>
    <t>2026-03-25</t>
  </si>
  <si>
    <t>METALFORM S.A. de C.V. — AVANCE DE IMPLEMENTACIÓN ISO 9001:2015</t>
  </si>
  <si>
    <t>Corte: 2026-03-23 | Responsable: Encargado de Calidad | Meta año 1: ≥ 70%</t>
  </si>
  <si>
    <t>Cláusula</t>
  </si>
  <si>
    <t>Nombre</t>
  </si>
  <si>
    <t>Peso %</t>
  </si>
  <si>
    <t>% Avance estimado</t>
  </si>
  <si>
    <t>Documentos vigentes</t>
  </si>
  <si>
    <t>Próxima acción clave</t>
  </si>
  <si>
    <t>4</t>
  </si>
  <si>
    <t>Contexto de la organización</t>
  </si>
  <si>
    <t>12%</t>
  </si>
  <si>
    <t>40%</t>
  </si>
  <si>
    <t>SGC-POL-CAL-001 (contexto)</t>
  </si>
  <si>
    <t>Documentar alcance y mapa de procesos</t>
  </si>
  <si>
    <t>5</t>
  </si>
  <si>
    <t>Liderazgo</t>
  </si>
  <si>
    <t>15%</t>
  </si>
  <si>
    <t>60%</t>
  </si>
  <si>
    <t>SGC-POL-CAL-001</t>
  </si>
  <si>
    <t>Elaborar manual de calidad simplificado</t>
  </si>
  <si>
    <t>6</t>
  </si>
  <si>
    <t>Planificación</t>
  </si>
  <si>
    <t>13%</t>
  </si>
  <si>
    <t>50%</t>
  </si>
  <si>
    <t>SGC-POL-CAL-001 (objetivos), HSE-MTR-RGM-001</t>
  </si>
  <si>
    <t>AMEF proceso pintura electrostática</t>
  </si>
  <si>
    <t>7</t>
  </si>
  <si>
    <t>Apoyo</t>
  </si>
  <si>
    <t>18%</t>
  </si>
  <si>
    <t>35%</t>
  </si>
  <si>
    <t>SGC-PRO-CDR-002, SGC-LMD-001</t>
  </si>
  <si>
    <t>Instrucciones de trabajo por proceso crítico</t>
  </si>
  <si>
    <t>8</t>
  </si>
  <si>
    <t>Operación</t>
  </si>
  <si>
    <t>25%</t>
  </si>
  <si>
    <t>Inicial</t>
  </si>
  <si>
    <t>HSE-PRG-SOL-001, HSE-PRG-RUI-002, HSE-PRG-VIB-003</t>
  </si>
  <si>
    <t>Plan de control e IT producción</t>
  </si>
  <si>
    <t>9</t>
  </si>
  <si>
    <t>Evaluación del desempeño</t>
  </si>
  <si>
    <t>10%</t>
  </si>
  <si>
    <t>—</t>
  </si>
  <si>
    <t>Programar primera auditoría interna Q3-2026</t>
  </si>
  <si>
    <t>10</t>
  </si>
  <si>
    <t>Mejora</t>
  </si>
  <si>
    <t>7%</t>
  </si>
  <si>
    <t>Emitir SGC-PRO-NC-003 y SGC-FRM-NC-001</t>
  </si>
  <si>
    <t>AVANCE PONDERADO GLOBAL</t>
  </si>
  <si>
    <t>32.0%</t>
  </si>
  <si>
    <t>GUÍA DE CONEXIÓN Y CONSTRUCCIÓN DEL DASHBOARD EN POWER BI</t>
  </si>
  <si>
    <t>Para uso del equipo de calidad — METALFORM S.A. de C.V.</t>
  </si>
  <si>
    <t>PASO 1 — CONECTAR ESTE ARCHIVO A POWER BI</t>
  </si>
  <si>
    <t>1.</t>
  </si>
  <si>
    <t>Abrir Power BI Desktop → Obtener datos → Excel</t>
  </si>
  <si>
    <t>2.</t>
  </si>
  <si>
    <t>Seleccionar este archivo: datos_simulados_metalform.xlsx</t>
  </si>
  <si>
    <t>3.</t>
  </si>
  <si>
    <t>Seleccionar todas las hojas: KPI_Calidad, KPI_Cliente, KPI_HSE, Acciones_Correctivas, Avance_ISO9001</t>
  </si>
  <si>
    <t>4.</t>
  </si>
  <si>
    <t>Cargar y transformar: verificar tipos de datos (Período = texto, % = decimal, fechas = fecha)</t>
  </si>
  <si>
    <t>PASO 2 — PÁGINAS DEL DASHBOARD RECOMENDADAS</t>
  </si>
  <si>
    <t>Página 1:</t>
  </si>
  <si>
    <t>RESUMEN EJECUTIVO — Tarjetas con KPI principales + semáforos + avance ISO</t>
  </si>
  <si>
    <t>Página 2:</t>
  </si>
  <si>
    <t>CALIDAD DEL PRODUCTO — Gráfico línea % NC, Cpk, retrabajo. Filtro por mes.</t>
  </si>
  <si>
    <t>Página 3:</t>
  </si>
  <si>
    <t>SATISFACCIÓN DEL CLIENTE — Entregas a tiempo, reclamaciones, días respuesta</t>
  </si>
  <si>
    <t>Página 4:</t>
  </si>
  <si>
    <t>SEGURIDAD (HSE) — EPP, incidentes, check lists, AC por estado</t>
  </si>
  <si>
    <t>Página 5:</t>
  </si>
  <si>
    <t>ACCIONES CORRECTIVAS — Tabla detalle, gráfico por proceso y estado</t>
  </si>
  <si>
    <t>Página 6:</t>
  </si>
  <si>
    <t>AVANCE ISO 9001 — Gráfico de barras por cláusula + indicador ponderado</t>
  </si>
  <si>
    <t>PASO 3 — VISUALIZACIONES CLAVE POR PÁGINA</t>
  </si>
  <si>
    <t>Resumen:</t>
  </si>
  <si>
    <t>6 tarjetas KPI con color condicional (verde/amarillo/rojo según meta)</t>
  </si>
  <si>
    <t>Tendencia:</t>
  </si>
  <si>
    <t>Gráfico de líneas con mes en eje X y KPI en eje Y + línea de meta</t>
  </si>
  <si>
    <t>Semáforo:</t>
  </si>
  <si>
    <t>Medidor (gauge) para KPIs de meta puntual (Cpk, satisfacción cliente)</t>
  </si>
  <si>
    <t>AC:</t>
  </si>
  <si>
    <t>Gráfico de anillo: distribución por estado (Cerrada / En proceso / Abierta)</t>
  </si>
  <si>
    <t>ISO:</t>
  </si>
  <si>
    <t>Gráfico de barras horizontales % avance por cláusula + línea de meta 70%</t>
  </si>
  <si>
    <t>PASO 4 — MEDIDAS DAX RECOMENDADAS</t>
  </si>
  <si>
    <t>% NC promedio:</t>
  </si>
  <si>
    <t>AVERAGE(KPI_Calidad[% No conformes (P1)])</t>
  </si>
  <si>
    <t>Incidentes totales:</t>
  </si>
  <si>
    <t>SUM(KPI_HSE[Incidentes registrados])</t>
  </si>
  <si>
    <t>AC abiertas:</t>
  </si>
  <si>
    <t>COUNTROWS(FILTER(Acciones_Correctivas, Acciones_Correctivas[Estado]="Abierta"))</t>
  </si>
  <si>
    <t>Avance ISO pond.:</t>
  </si>
  <si>
    <t>SUMX(Avance_ISO9001, [Peso %]*[% Avance estimado])/100</t>
  </si>
  <si>
    <t>Meta % NC:</t>
  </si>
  <si>
    <t>0.03  (constante para línea de meta en gráfico)</t>
  </si>
  <si>
    <t>PASO 5 — COLORES Y ESTILO</t>
  </si>
  <si>
    <t>Fondo:</t>
  </si>
  <si>
    <t>Blanco (#FFFFFF) o gris muy claro (#F5F5F5)</t>
  </si>
  <si>
    <t>Color primario:</t>
  </si>
  <si>
    <t>Azul oscuro (#1F3864) para encabezados y tarjetas</t>
  </si>
  <si>
    <t>Color secundario:</t>
  </si>
  <si>
    <t>Azul medio (#2E75B6) para gráficos de barras</t>
  </si>
  <si>
    <t>Semáforo verde:</t>
  </si>
  <si>
    <t>#92D050 — cumple meta</t>
  </si>
  <si>
    <t>Semáforo amarillo:</t>
  </si>
  <si>
    <t>#FFFF00 — zona de alerta</t>
  </si>
  <si>
    <t>Semáforo rojo:</t>
  </si>
  <si>
    <t>#FF4444 — incumplimiento</t>
  </si>
  <si>
    <t>Fuente:</t>
  </si>
  <si>
    <t>Segoe UI o Arial, tamaño 10-12 para datos, 14-16 para títulos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</si>
  <si>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</si>
  <si>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</si>
  <si>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</si>
  <si>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</si>
  <si>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</si>
  <si>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</si>
  <si>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</si>
  <si>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</si>
  <si>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</si>
  <si>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</si>
  <si>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</si>
  <si>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</si>
  <si>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Acción </t>
  </si>
  <si>
    <t>Plazo</t>
  </si>
  <si>
    <t>Estudio Higiene Industrial - Ruido</t>
  </si>
  <si>
    <t>Estudio Vibración - Acelerómetro</t>
  </si>
  <si>
    <t>Audiometrias Basales Personal</t>
  </si>
  <si>
    <t>Señalización Zona Ruido</t>
  </si>
  <si>
    <t>Guarda Troqueladora AC - 008</t>
  </si>
  <si>
    <t>Delimitación Layout Planta</t>
  </si>
  <si>
    <t xml:space="preserve">60 días </t>
  </si>
  <si>
    <t>90 días</t>
  </si>
  <si>
    <t>30 días</t>
  </si>
  <si>
    <t>15 días</t>
  </si>
  <si>
    <t>3 días</t>
  </si>
  <si>
    <t>En Proceso</t>
  </si>
  <si>
    <t>METALFORM S.A. de C.V. — KPIs 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</si>
</sst>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%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  <font>
      <b/>
      <sz val="10"/>
      <name val="Arial"/>
    </font>
    <font>
      <b/>
      <sz val="11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E0B2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7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0" fontId="4" fillId="8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44" fontId="3" fillId="4" borderId="1" xfId="2" applyFont="1" applyFill="1" applyBorder="1" applyAlignment="1">
      <alignment horizontal="left" vertical="center" wrapText="1"/>
    </xf>
    <xf numFmtId="44" fontId="3" fillId="7" borderId="1" xfId="2" applyFont="1" applyFill="1" applyBorder="1" applyAlignment="1">
      <alignment horizontal="left" vertical="center" wrapText="1"/>
    </xf>
    <xf numFmtId="44" fontId="5" fillId="3" borderId="1" xfId="2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9" fontId="7" fillId="5" borderId="1" xfId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left" vertical="center" wrapText="1"/>
    </xf>
    <xf numFmtId="9" fontId="3" fillId="7" borderId="1" xfId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10" fontId="4" fillId="6" borderId="4" xfId="0" applyNumberFormat="1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3" fillId="7" borderId="8" xfId="0" applyNumberFormat="1" applyFont="1" applyFill="1" applyBorder="1" applyAlignment="1">
      <alignment horizontal="left" vertical="center" wrapText="1"/>
    </xf>
    <xf numFmtId="14" fontId="3" fillId="7" borderId="9" xfId="0" applyNumberFormat="1" applyFont="1" applyFill="1" applyBorder="1" applyAlignment="1">
      <alignment horizontal="left" vertical="center" wrapText="1"/>
    </xf>
    <xf numFmtId="1" fontId="3" fillId="7" borderId="9" xfId="0" applyNumberFormat="1" applyFont="1" applyFill="1" applyBorder="1" applyAlignment="1">
      <alignment horizontal="left" vertical="center" wrapText="1"/>
    </xf>
    <xf numFmtId="10" fontId="4" fillId="8" borderId="9" xfId="0" applyNumberFormat="1" applyFont="1" applyFill="1" applyBorder="1" applyAlignment="1">
      <alignment horizontal="center" vertical="center"/>
    </xf>
    <xf numFmtId="44" fontId="3" fillId="7" borderId="9" xfId="2" applyFont="1" applyFill="1" applyBorder="1" applyAlignment="1">
      <alignment horizontal="left" vertical="center" wrapText="1"/>
    </xf>
    <xf numFmtId="2" fontId="4" fillId="6" borderId="9" xfId="0" applyNumberFormat="1" applyFont="1" applyFill="1" applyBorder="1" applyAlignment="1">
      <alignment horizontal="center" vertical="center"/>
    </xf>
    <xf numFmtId="10" fontId="4" fillId="5" borderId="10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5" fontId="4" fillId="5" borderId="9" xfId="0" applyNumberFormat="1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left" vertical="center" wrapText="1"/>
    </xf>
    <xf numFmtId="1" fontId="4" fillId="6" borderId="9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9" fontId="3" fillId="4" borderId="9" xfId="1" applyFont="1" applyFill="1" applyBorder="1" applyAlignment="1">
      <alignment horizontal="left" vertical="center" wrapText="1"/>
    </xf>
    <xf numFmtId="9" fontId="6" fillId="6" borderId="9" xfId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11" xfId="0" applyBorder="1"/>
    <xf numFmtId="0" fontId="1" fillId="2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9" fillId="12" borderId="14" xfId="0" applyFont="1" applyFill="1" applyBorder="1"/>
    <xf numFmtId="0" fontId="9" fillId="12" borderId="15" xfId="0" applyFont="1" applyFill="1" applyBorder="1"/>
    <xf numFmtId="0" fontId="9" fillId="12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3">
    <cellStyle name="Moneda" xfId="2" builtinId="4"/>
    <cellStyle name="Normal" xfId="0" builtinId="0"/>
    <cellStyle name="Porcentaje" xfId="1" builtinId="5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E0B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0.0"/>
      <fill>
        <patternFill patternType="solid">
          <fgColor indexed="64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0.0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0.0%"/>
      <fill>
        <patternFill patternType="solid">
          <fgColor indexed="64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rgb="FFFFE0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solid">
          <fgColor indexed="64"/>
          <bgColor rgb="FFFFF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752DB-4026-428F-9F46-B11F47DB27BB}" name="KPI_Calidad" displayName="KPI_Calidad" ref="A3:L15" totalsRowShown="0" headerRowDxfId="77" headerRowBorderDxfId="76" tableBorderDxfId="75" totalsRowBorderDxfId="74">
  <autoFilter ref="A3:L15" xr:uid="{B30535F1-E0FA-4502-84E0-1EFE51C1F37C}"/>
  <tableColumns count="12">
    <tableColumn id="1" xr3:uid="{2BC78B12-0602-4496-94BC-A36A8307F34F}" name="Mes" dataDxfId="73"/>
    <tableColumn id="2" xr3:uid="{631EFDAD-F7B3-4833-BDA1-DF11BF76C8D0}" name="Período" dataDxfId="72"/>
    <tableColumn id="3" xr3:uid="{427C501E-3A81-4C99-A6FD-C22B57EEF862}" name="Unidades producidas" dataDxfId="71"/>
    <tableColumn id="4" xr3:uid="{5FAF5F87-E152-495A-86CB-46CD28083C2E}" name="Unidades no conformes" dataDxfId="70"/>
    <tableColumn id="5" xr3:uid="{9ED294F6-B0EB-48C8-AA69-D39BEC81661C}" name="% No conformes (P1)_x000a_Meta ≤ 3%" dataDxfId="69">
      <calculatedColumnFormula>D4/C4</calculatedColumnFormula>
    </tableColumn>
    <tableColumn id="6" xr3:uid="{A25863F0-003A-4243-A839-9F84CA0829EC}" name="Costo retrabajo ($MXN)" dataDxfId="68" dataCellStyle="Moneda"/>
    <tableColumn id="7" xr3:uid="{3404BCA8-5889-498B-BAE7-7C1963B83510}" name="Costo producción ($MXN)" dataDxfId="67" dataCellStyle="Moneda"/>
    <tableColumn id="8" xr3:uid="{7817C27E-CC12-4001-8988-9502D47C6529}" name="% Costo retrabajo (P2)_x000a_Meta ≤ 2%" dataDxfId="66">
      <calculatedColumnFormula>F4/G4</calculatedColumnFormula>
    </tableColumn>
    <tableColumn id="9" xr3:uid="{18901873-C1E2-42E5-877F-E0F0B99E06B6}" name="Cpk proceso crítico (P3)_x000a_Meta ≥ 1.0" dataDxfId="65"/>
    <tableColumn id="10" xr3:uid="{8C36B56D-1140-4571-A6E4-33E418FA8878}" name="Lotes pintados" dataDxfId="64"/>
    <tableColumn id="11" xr3:uid="{80DB4AED-CF8D-4059-B5CF-35F80E03B2A5}" name="Lotes rechazados pintura" dataDxfId="63"/>
    <tableColumn id="12" xr3:uid="{52EAF56A-0206-42B0-89A8-7B378308B6BD}" name="% Rechazo pintura (P4)_x000a_Meta ≤ 1%" dataDxfId="62">
      <calculatedColumnFormula>K4/J4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44619-D7C8-427B-A9F8-03424D75D896}" name="KPI_Cliente" displayName="KPI_Cliente" ref="A3:I15" totalsRowShown="0" headerRowDxfId="61" headerRowBorderDxfId="60" tableBorderDxfId="59" totalsRowBorderDxfId="58">
  <autoFilter ref="A3:I15" xr:uid="{FA80D52B-6918-4736-BB23-55C4830BCC46}"/>
  <tableColumns count="9">
    <tableColumn id="1" xr3:uid="{CF4E9BBF-9B20-494F-9234-B3DB74F08971}" name="Mes" dataDxfId="57"/>
    <tableColumn id="2" xr3:uid="{B0CAF5E2-0756-4498-9719-18335338153E}" name="Período" dataDxfId="56"/>
    <tableColumn id="3" xr3:uid="{28D6E6D4-ABCE-4F8D-8023-C72355286D22}" name="Pedidos totales" dataDxfId="55"/>
    <tableColumn id="4" xr3:uid="{B60AB878-104E-4764-8FA4-A95B5665F78C}" name="Pedidos a tiempo (C1)_x000a_Meta ≥ 95%" dataDxfId="54"/>
    <tableColumn id="5" xr3:uid="{8327F3B2-CCDB-4FA5-B451-7F8FC7D3844E}" name="% Entrega a tiempo" dataDxfId="53">
      <calculatedColumnFormula>D4/C4</calculatedColumnFormula>
    </tableColumn>
    <tableColumn id="6" xr3:uid="{A8A6703A-73D4-4413-B914-89953455B3D7}" name="Reclamaciones (C2)_x000a_Meta ≤ 1%" dataDxfId="52"/>
    <tableColumn id="7" xr3:uid="{BA17B81B-67D2-4D20-9C54-A60FA586A5AA}" name="% Reclamaciones" dataDxfId="51">
      <calculatedColumnFormula>F4/C4</calculatedColumnFormula>
    </tableColumn>
    <tableColumn id="8" xr3:uid="{0E48A817-9489-464F-AD5A-F604CFDCB8A9}" name="Días resp. reclamación (C4)_x000a_Meta ≤ 5 días" dataDxfId="50"/>
    <tableColumn id="9" xr3:uid="{7819B26F-85E9-4BB1-82CB-2527AFF9DB2D}" name="Satisfacción cliente (C3)_x000a_Meta ≥ 4/5" dataDxfId="4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0870CD-86E0-4290-AA11-3DABCAC813A7}" name="KPI_HSE" displayName="KPI_HSE" ref="A3:K15" totalsRowShown="0" headerRowDxfId="48" dataDxfId="46" headerRowBorderDxfId="47" tableBorderDxfId="45" totalsRowBorderDxfId="44">
  <autoFilter ref="A3:K15" xr:uid="{E721CD8E-0E3C-4CF6-9027-EF74204B5842}"/>
  <tableColumns count="11">
    <tableColumn id="1" xr3:uid="{1E6ECE75-4BD8-4434-9BAF-C9CD33327991}" name="Mes" dataDxfId="43"/>
    <tableColumn id="2" xr3:uid="{DA58C549-8DA9-4DFB-8CB8-C0A27CFC7846}" name="Período" dataDxfId="42"/>
    <tableColumn id="3" xr3:uid="{3268CB7C-295F-4B84-A605-7FAB9AFCD807}" name="% Uso correcto EPP_x000a_Meta 100%" dataDxfId="41"/>
    <tableColumn id="4" xr3:uid="{03B85AEA-80FC-4A17-A614-8B431C58E9CF}" name="Check lists completados_x000a_Meta 100%" dataDxfId="40"/>
    <tableColumn id="5" xr3:uid="{35EAECA9-8B21-4E4E-BBC7-9F1B9A700E99}" name="Check lists programados" dataDxfId="39"/>
    <tableColumn id="6" xr3:uid="{9E72AA39-0EAD-4312-8896-C6EA64D138C7}" name="% Check lists (I)" dataDxfId="38">
      <calculatedColumnFormula>D4/E4</calculatedColumnFormula>
    </tableColumn>
    <tableColumn id="7" xr3:uid="{8B28A93F-9E2D-459A-A991-0ED0AB79F549}" name="Incidentes registrados_x000a_Meta 0" dataDxfId="37"/>
    <tableColumn id="8" xr3:uid="{81DA93B4-8737-4145-8A02-BF0B6F75731F}" name="Acciones correctivas abiertas" dataDxfId="36"/>
    <tableColumn id="9" xr3:uid="{0B723B2E-F7CA-44EB-8354-0A118BB3F0EB}" name="AC cerradas en plazo_x000a_Meta ≥ 90%" dataDxfId="35"/>
    <tableColumn id="10" xr3:uid="{AB9920B0-30A3-4678-9497-F98170C3FD89}" name="% Participación capacitación_x000a_Meta ≥ 90%" dataDxfId="34"/>
    <tableColumn id="11" xr3:uid="{614AC2F5-D89A-4394-9D0E-BD40CC513CE7}" name="Observaciones preventivas_x000a_Meta ≥ 10/mes" dataDxfId="3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2D9FE4-F474-441F-B957-1EDA3E8B8DC8}" name="Acciones_Correctivas" displayName="Acciones_Correctivas" ref="A3:J11" totalsRowShown="0" headerRowDxfId="32" dataDxfId="30" headerRowBorderDxfId="31" tableBorderDxfId="29" totalsRowBorderDxfId="28">
  <autoFilter ref="A3:J11" xr:uid="{EF5EB5D2-22FE-4E94-858D-CEC9F37AE04C}"/>
  <tableColumns count="10">
    <tableColumn id="1" xr3:uid="{BB820974-02CE-4021-B386-CF67053FEAE8}" name="N° AC" dataDxfId="27"/>
    <tableColumn id="2" xr3:uid="{9C27BC0B-162D-42B1-A9EA-8BF6B1737313}" name="Fecha apertura" dataDxfId="26"/>
    <tableColumn id="3" xr3:uid="{188DABC4-4156-4DD7-867D-6AA401F51AEE}" name="Origen" dataDxfId="25"/>
    <tableColumn id="4" xr3:uid="{994CF554-55B4-4E16-B62A-FC18984AFA69}" name="Proceso afectado" dataDxfId="24"/>
    <tableColumn id="5" xr3:uid="{D8355761-55C9-4C64-A2E5-BB5B0A79F4C1}" name="Descripción de la no conformidad" dataDxfId="23"/>
    <tableColumn id="6" xr3:uid="{174A8422-3FB8-487B-98E2-AE5DCFDD8F43}" name="Causa raíz" dataDxfId="22"/>
    <tableColumn id="7" xr3:uid="{1DBBAA2F-0A96-4892-AD9B-01E6BBD900C2}" name="Acción correctiva" dataDxfId="21"/>
    <tableColumn id="8" xr3:uid="{65A0CDAA-58EF-47FF-8AAE-E27D2A639BB3}" name="Responsable" dataDxfId="20"/>
    <tableColumn id="9" xr3:uid="{F18CB6B5-47FB-48AB-B8C8-BFC0C1C87A36}" name="Fecha límite" dataDxfId="19"/>
    <tableColumn id="10" xr3:uid="{58A01B25-48C2-44E5-B26E-DA491A923C45}" name="Estado" dataDxfId="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22F1E-B6CF-4071-9334-5693BFF8EF21}" name="Avance_ISO9001" displayName="Avance_ISO9001" ref="A3:G10" totalsRowShown="0" headerRowDxfId="17" headerRowBorderDxfId="16" tableBorderDxfId="15" totalsRowBorderDxfId="14">
  <autoFilter ref="A3:G10" xr:uid="{8CBD61FA-7C3F-4B65-97AD-0377A74CD215}"/>
  <tableColumns count="7">
    <tableColumn id="1" xr3:uid="{C0951694-F1B8-41EF-B0D0-0AFC821F1B8F}" name="Cláusula" dataDxfId="13"/>
    <tableColumn id="2" xr3:uid="{527F7132-AC15-4C4B-B44F-92F33C349050}" name="Nombre" dataDxfId="12"/>
    <tableColumn id="3" xr3:uid="{39B1107B-8032-4402-8D40-FD83C6C59435}" name="Peso %" dataDxfId="11" dataCellStyle="Porcentaje"/>
    <tableColumn id="4" xr3:uid="{A6E6EF5A-2DE8-4549-97B3-707CE48FECA0}" name="% Avance estimado" dataDxfId="10" dataCellStyle="Porcentaje"/>
    <tableColumn id="5" xr3:uid="{03DE6A06-3638-4835-A904-CA341420BE17}" name="Estado" dataDxfId="9"/>
    <tableColumn id="6" xr3:uid="{33FD3BC8-B565-4B60-B7D5-3897CA713770}" name="Documentos vigentes" dataDxfId="8"/>
    <tableColumn id="7" xr3:uid="{6B95C800-CDF3-4D4E-A882-ABF8C41C8AE6}" name="Próxima acción clave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DEED3F-70E8-4853-8866-191A214486FC}" name="Detalle_Acciones_HSE" displayName="Detalle_Acciones_HSE" ref="A3:C9" totalsRowShown="0" headerRowDxfId="0" headerRowBorderDxfId="5" tableBorderDxfId="6" totalsRowBorderDxfId="4">
  <autoFilter ref="A3:C9" xr:uid="{48A86478-F20A-4C6F-A729-A7172FF3AA93}"/>
  <tableColumns count="3">
    <tableColumn id="1" xr3:uid="{CD4124B6-202F-4339-BEFD-D20319207FD5}" name="Acción " dataDxfId="3"/>
    <tableColumn id="2" xr3:uid="{80A8E20D-D8EE-4D2A-8BAC-55A4AA4E8F13}" name="Plazo" dataDxfId="2"/>
    <tableColumn id="3" xr3:uid="{DB012502-ACAA-4C30-A479-366FD0D75EB7}" name="Estad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workbookViewId="0">
      <pane ySplit="3" topLeftCell="A4" activePane="bottomLeft" state="frozen"/>
      <selection pane="bottomLeft" activeCell="C21" sqref="C21"/>
    </sheetView>
  </sheetViews>
  <sheetFormatPr baseColWidth="10" defaultColWidth="8.88671875" defaultRowHeight="14.4" x14ac:dyDescent="0.3"/>
  <cols>
    <col min="1" max="1" width="20.77734375" customWidth="1"/>
    <col min="2" max="2" width="10" customWidth="1"/>
    <col min="3" max="3" width="21.33203125" customWidth="1"/>
    <col min="4" max="4" width="23.5546875" customWidth="1"/>
    <col min="5" max="5" width="20" customWidth="1"/>
    <col min="6" max="6" width="23.44140625" customWidth="1"/>
    <col min="7" max="7" width="25.44140625" customWidth="1"/>
    <col min="8" max="8" width="20" customWidth="1"/>
    <col min="9" max="9" width="18" customWidth="1"/>
    <col min="10" max="10" width="15.88671875" customWidth="1"/>
    <col min="11" max="11" width="25.21875" customWidth="1"/>
    <col min="12" max="12" width="20" customWidth="1"/>
  </cols>
  <sheetData>
    <row r="1" spans="1:12" ht="22.05" customHeight="1" x14ac:dyDescent="0.3">
      <c r="A1" s="78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2.05" customHeight="1" x14ac:dyDescent="0.3">
      <c r="A2" s="76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41.4" customHeight="1" x14ac:dyDescent="0.3">
      <c r="A3" s="40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  <c r="K3" s="41" t="s">
        <v>12</v>
      </c>
      <c r="L3" s="42" t="s">
        <v>13</v>
      </c>
    </row>
    <row r="4" spans="1:12" ht="18" customHeight="1" x14ac:dyDescent="0.3">
      <c r="A4" s="36" t="s">
        <v>240</v>
      </c>
      <c r="B4" s="24" t="s">
        <v>14</v>
      </c>
      <c r="C4" s="27">
        <v>494</v>
      </c>
      <c r="D4" s="27">
        <v>19</v>
      </c>
      <c r="E4" s="2">
        <f t="shared" ref="E4:E15" si="0">D4/C4</f>
        <v>3.8461538461538464E-2</v>
      </c>
      <c r="F4" s="21">
        <v>12404</v>
      </c>
      <c r="G4" s="21">
        <v>413478</v>
      </c>
      <c r="H4" s="2">
        <f t="shared" ref="H4:H15" si="1">F4/G4</f>
        <v>2.9999177707157335E-2</v>
      </c>
      <c r="I4" s="3">
        <v>0.69</v>
      </c>
      <c r="J4" s="27">
        <v>41</v>
      </c>
      <c r="K4" s="27">
        <v>2</v>
      </c>
      <c r="L4" s="38">
        <f t="shared" ref="L4:L15" si="2">K4/J4</f>
        <v>4.878048780487805E-2</v>
      </c>
    </row>
    <row r="5" spans="1:12" ht="18" customHeight="1" x14ac:dyDescent="0.3">
      <c r="A5" s="37" t="s">
        <v>241</v>
      </c>
      <c r="B5" s="25" t="s">
        <v>15</v>
      </c>
      <c r="C5" s="28">
        <v>549</v>
      </c>
      <c r="D5" s="28">
        <v>21</v>
      </c>
      <c r="E5" s="2">
        <f t="shared" si="0"/>
        <v>3.825136612021858E-2</v>
      </c>
      <c r="F5" s="22">
        <v>12974</v>
      </c>
      <c r="G5" s="22">
        <v>465003</v>
      </c>
      <c r="H5" s="2">
        <f t="shared" si="1"/>
        <v>2.7900895263041313E-2</v>
      </c>
      <c r="I5" s="3">
        <v>0.7</v>
      </c>
      <c r="J5" s="28">
        <v>45</v>
      </c>
      <c r="K5" s="28">
        <v>2</v>
      </c>
      <c r="L5" s="38">
        <f t="shared" si="2"/>
        <v>4.4444444444444446E-2</v>
      </c>
    </row>
    <row r="6" spans="1:12" ht="18" customHeight="1" x14ac:dyDescent="0.3">
      <c r="A6" s="36" t="s">
        <v>242</v>
      </c>
      <c r="B6" s="24" t="s">
        <v>16</v>
      </c>
      <c r="C6" s="27">
        <v>483</v>
      </c>
      <c r="D6" s="27">
        <v>19</v>
      </c>
      <c r="E6" s="2">
        <f t="shared" si="0"/>
        <v>3.9337474120082816E-2</v>
      </c>
      <c r="F6" s="21">
        <v>12200</v>
      </c>
      <c r="G6" s="21">
        <v>417795</v>
      </c>
      <c r="H6" s="2">
        <f t="shared" si="1"/>
        <v>2.9200923898083989E-2</v>
      </c>
      <c r="I6" s="3">
        <v>0.74</v>
      </c>
      <c r="J6" s="27">
        <v>45</v>
      </c>
      <c r="K6" s="27">
        <v>2</v>
      </c>
      <c r="L6" s="38">
        <f t="shared" si="2"/>
        <v>4.4444444444444446E-2</v>
      </c>
    </row>
    <row r="7" spans="1:12" ht="18" customHeight="1" x14ac:dyDescent="0.3">
      <c r="A7" s="37" t="s">
        <v>243</v>
      </c>
      <c r="B7" s="25" t="s">
        <v>17</v>
      </c>
      <c r="C7" s="28">
        <v>515</v>
      </c>
      <c r="D7" s="28">
        <v>20</v>
      </c>
      <c r="E7" s="2">
        <f t="shared" si="0"/>
        <v>3.8834951456310676E-2</v>
      </c>
      <c r="F7" s="22">
        <v>11993</v>
      </c>
      <c r="G7" s="22">
        <v>422300</v>
      </c>
      <c r="H7" s="2">
        <f t="shared" si="1"/>
        <v>2.8399242244849632E-2</v>
      </c>
      <c r="I7" s="3">
        <v>0.72</v>
      </c>
      <c r="J7" s="28">
        <v>51</v>
      </c>
      <c r="K7" s="28">
        <v>2</v>
      </c>
      <c r="L7" s="38">
        <f t="shared" si="2"/>
        <v>3.9215686274509803E-2</v>
      </c>
    </row>
    <row r="8" spans="1:12" ht="18" customHeight="1" x14ac:dyDescent="0.3">
      <c r="A8" s="36" t="s">
        <v>244</v>
      </c>
      <c r="B8" s="24" t="s">
        <v>18</v>
      </c>
      <c r="C8" s="27">
        <v>499</v>
      </c>
      <c r="D8" s="27">
        <v>17</v>
      </c>
      <c r="E8" s="2">
        <f t="shared" si="0"/>
        <v>3.406813627254509E-2</v>
      </c>
      <c r="F8" s="21">
        <v>11045</v>
      </c>
      <c r="G8" s="21">
        <v>433132</v>
      </c>
      <c r="H8" s="2">
        <f t="shared" si="1"/>
        <v>2.5500309374509388E-2</v>
      </c>
      <c r="I8" s="3">
        <v>0.72</v>
      </c>
      <c r="J8" s="27">
        <v>41</v>
      </c>
      <c r="K8" s="27">
        <v>1</v>
      </c>
      <c r="L8" s="38">
        <f t="shared" si="2"/>
        <v>2.4390243902439025E-2</v>
      </c>
    </row>
    <row r="9" spans="1:12" ht="18" customHeight="1" x14ac:dyDescent="0.3">
      <c r="A9" s="36" t="s">
        <v>245</v>
      </c>
      <c r="B9" s="25" t="s">
        <v>19</v>
      </c>
      <c r="C9" s="28">
        <v>524</v>
      </c>
      <c r="D9" s="28">
        <v>18</v>
      </c>
      <c r="E9" s="2">
        <f t="shared" si="0"/>
        <v>3.4351145038167941E-2</v>
      </c>
      <c r="F9" s="22">
        <v>10589</v>
      </c>
      <c r="G9" s="22">
        <v>456404</v>
      </c>
      <c r="H9" s="2">
        <f t="shared" si="1"/>
        <v>2.3200936012830738E-2</v>
      </c>
      <c r="I9" s="3">
        <v>0.76</v>
      </c>
      <c r="J9" s="28">
        <v>41</v>
      </c>
      <c r="K9" s="28">
        <v>1</v>
      </c>
      <c r="L9" s="38">
        <f t="shared" si="2"/>
        <v>2.4390243902439025E-2</v>
      </c>
    </row>
    <row r="10" spans="1:12" ht="18" customHeight="1" x14ac:dyDescent="0.3">
      <c r="A10" s="37" t="s">
        <v>246</v>
      </c>
      <c r="B10" s="24" t="s">
        <v>20</v>
      </c>
      <c r="C10" s="27">
        <v>528</v>
      </c>
      <c r="D10" s="27">
        <v>16</v>
      </c>
      <c r="E10" s="2">
        <f t="shared" si="0"/>
        <v>3.0303030303030304E-2</v>
      </c>
      <c r="F10" s="21">
        <v>11106</v>
      </c>
      <c r="G10" s="21">
        <v>442464</v>
      </c>
      <c r="H10" s="2">
        <f t="shared" si="1"/>
        <v>2.5100347146886526E-2</v>
      </c>
      <c r="I10" s="3">
        <v>0.78</v>
      </c>
      <c r="J10" s="27">
        <v>49</v>
      </c>
      <c r="K10" s="27">
        <v>1</v>
      </c>
      <c r="L10" s="38">
        <f t="shared" si="2"/>
        <v>2.0408163265306121E-2</v>
      </c>
    </row>
    <row r="11" spans="1:12" ht="18" customHeight="1" x14ac:dyDescent="0.3">
      <c r="A11" s="36" t="s">
        <v>247</v>
      </c>
      <c r="B11" s="25" t="s">
        <v>21</v>
      </c>
      <c r="C11" s="28">
        <v>488</v>
      </c>
      <c r="D11" s="28">
        <v>14</v>
      </c>
      <c r="E11" s="5">
        <f t="shared" si="0"/>
        <v>2.8688524590163935E-2</v>
      </c>
      <c r="F11" s="22">
        <v>9646</v>
      </c>
      <c r="G11" s="22">
        <v>406992</v>
      </c>
      <c r="H11" s="2">
        <f t="shared" si="1"/>
        <v>2.3700711561898024E-2</v>
      </c>
      <c r="I11" s="3">
        <v>0.82</v>
      </c>
      <c r="J11" s="28">
        <v>45</v>
      </c>
      <c r="K11" s="28">
        <v>1</v>
      </c>
      <c r="L11" s="38">
        <f t="shared" si="2"/>
        <v>2.2222222222222223E-2</v>
      </c>
    </row>
    <row r="12" spans="1:12" ht="18" customHeight="1" x14ac:dyDescent="0.3">
      <c r="A12" s="37" t="s">
        <v>248</v>
      </c>
      <c r="B12" s="24" t="s">
        <v>22</v>
      </c>
      <c r="C12" s="27">
        <v>528</v>
      </c>
      <c r="D12" s="27">
        <v>15</v>
      </c>
      <c r="E12" s="5">
        <f t="shared" si="0"/>
        <v>2.8409090909090908E-2</v>
      </c>
      <c r="F12" s="21">
        <v>10308</v>
      </c>
      <c r="G12" s="21">
        <v>454080</v>
      </c>
      <c r="H12" s="2">
        <f t="shared" si="1"/>
        <v>2.2700845665961946E-2</v>
      </c>
      <c r="I12" s="3">
        <v>0.77</v>
      </c>
      <c r="J12" s="27">
        <v>49</v>
      </c>
      <c r="K12" s="27">
        <v>1</v>
      </c>
      <c r="L12" s="38">
        <f t="shared" si="2"/>
        <v>2.0408163265306121E-2</v>
      </c>
    </row>
    <row r="13" spans="1:12" ht="18" customHeight="1" x14ac:dyDescent="0.3">
      <c r="A13" s="36" t="s">
        <v>249</v>
      </c>
      <c r="B13" s="25" t="s">
        <v>23</v>
      </c>
      <c r="C13" s="28">
        <v>514</v>
      </c>
      <c r="D13" s="28">
        <v>15</v>
      </c>
      <c r="E13" s="5">
        <f t="shared" si="0"/>
        <v>2.9182879377431907E-2</v>
      </c>
      <c r="F13" s="22">
        <v>9227</v>
      </c>
      <c r="G13" s="22">
        <v>443582</v>
      </c>
      <c r="H13" s="2">
        <f t="shared" si="1"/>
        <v>2.0801114562809132E-2</v>
      </c>
      <c r="I13" s="3">
        <v>0.81</v>
      </c>
      <c r="J13" s="28">
        <v>43</v>
      </c>
      <c r="K13" s="28">
        <v>1</v>
      </c>
      <c r="L13" s="38">
        <f t="shared" si="2"/>
        <v>2.3255813953488372E-2</v>
      </c>
    </row>
    <row r="14" spans="1:12" ht="18" customHeight="1" x14ac:dyDescent="0.3">
      <c r="A14" s="36" t="s">
        <v>250</v>
      </c>
      <c r="B14" s="24" t="s">
        <v>24</v>
      </c>
      <c r="C14" s="27">
        <v>511</v>
      </c>
      <c r="D14" s="27">
        <v>13</v>
      </c>
      <c r="E14" s="5">
        <f t="shared" si="0"/>
        <v>2.5440313111545987E-2</v>
      </c>
      <c r="F14" s="21">
        <v>7806</v>
      </c>
      <c r="G14" s="21">
        <v>431284</v>
      </c>
      <c r="H14" s="5">
        <f t="shared" si="1"/>
        <v>1.8099442594670796E-2</v>
      </c>
      <c r="I14" s="3">
        <v>0.84</v>
      </c>
      <c r="J14" s="27">
        <v>55</v>
      </c>
      <c r="K14" s="27">
        <v>1</v>
      </c>
      <c r="L14" s="39">
        <f t="shared" si="2"/>
        <v>1.8181818181818181E-2</v>
      </c>
    </row>
    <row r="15" spans="1:12" ht="18" customHeight="1" x14ac:dyDescent="0.3">
      <c r="A15" s="43" t="s">
        <v>251</v>
      </c>
      <c r="B15" s="44" t="s">
        <v>25</v>
      </c>
      <c r="C15" s="45">
        <v>521</v>
      </c>
      <c r="D15" s="45">
        <v>14</v>
      </c>
      <c r="E15" s="46">
        <f t="shared" si="0"/>
        <v>2.6871401151631478E-2</v>
      </c>
      <c r="F15" s="47">
        <v>7244</v>
      </c>
      <c r="G15" s="47">
        <v>452749</v>
      </c>
      <c r="H15" s="46">
        <f t="shared" si="1"/>
        <v>1.6000035339669441E-2</v>
      </c>
      <c r="I15" s="48">
        <v>0.84</v>
      </c>
      <c r="J15" s="45">
        <v>48</v>
      </c>
      <c r="K15" s="45">
        <v>1</v>
      </c>
      <c r="L15" s="49">
        <f t="shared" si="2"/>
        <v>2.0833333333333332E-2</v>
      </c>
    </row>
    <row r="16" spans="1:12" ht="18" customHeight="1" x14ac:dyDescent="0.3">
      <c r="A16" s="6" t="s">
        <v>26</v>
      </c>
      <c r="B16" s="7"/>
      <c r="C16" s="29">
        <f>SUM(C4:C15)</f>
        <v>6154</v>
      </c>
      <c r="D16" s="29">
        <f>SUM(D4:D15)</f>
        <v>201</v>
      </c>
      <c r="E16" s="20">
        <f>AVERAGE(E4:E15)</f>
        <v>3.2683320909313175E-2</v>
      </c>
      <c r="F16" s="23">
        <f>SUM(F4:F15)</f>
        <v>126542</v>
      </c>
      <c r="G16" s="23">
        <f>SUM(G4:G15)</f>
        <v>5239263</v>
      </c>
      <c r="H16" s="20">
        <f>AVERAGE(H4:H15)</f>
        <v>2.4216998447697351E-2</v>
      </c>
      <c r="I16" s="26">
        <f>AVERAGE(I4:I15)</f>
        <v>0.76583333333333325</v>
      </c>
      <c r="J16" s="29">
        <f>SUM(J4:J15)</f>
        <v>553</v>
      </c>
      <c r="K16" s="29">
        <f>SUM(K4:K15)</f>
        <v>16</v>
      </c>
      <c r="L16" s="20">
        <f>AVERAGE(L4:L15)</f>
        <v>2.924792208288576E-2</v>
      </c>
    </row>
  </sheetData>
  <mergeCells count="2">
    <mergeCell ref="A2:L2"/>
    <mergeCell ref="A1:L1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topLeftCell="E1" workbookViewId="0">
      <pane ySplit="3" topLeftCell="A4" activePane="bottomLeft" state="frozen"/>
      <selection pane="bottomLeft" activeCell="A4" sqref="A4:I15"/>
    </sheetView>
  </sheetViews>
  <sheetFormatPr baseColWidth="10" defaultColWidth="8.88671875" defaultRowHeight="14.4" x14ac:dyDescent="0.3"/>
  <cols>
    <col min="1" max="1" width="24.44140625" customWidth="1"/>
    <col min="2" max="2" width="10" customWidth="1"/>
    <col min="3" max="3" width="16.33203125" customWidth="1"/>
    <col min="4" max="4" width="16" customWidth="1"/>
    <col min="5" max="5" width="20.109375" customWidth="1"/>
    <col min="6" max="6" width="16" customWidth="1"/>
    <col min="7" max="7" width="18.21875" customWidth="1"/>
    <col min="8" max="8" width="22" customWidth="1"/>
    <col min="9" max="9" width="18" customWidth="1"/>
  </cols>
  <sheetData>
    <row r="1" spans="1:9" ht="22.05" customHeight="1" x14ac:dyDescent="0.3">
      <c r="A1" s="78" t="s">
        <v>27</v>
      </c>
      <c r="B1" s="77"/>
      <c r="C1" s="77"/>
      <c r="D1" s="77"/>
      <c r="E1" s="77"/>
      <c r="F1" s="77"/>
      <c r="G1" s="77"/>
      <c r="H1" s="77"/>
      <c r="I1" s="77"/>
    </row>
    <row r="2" spans="1:9" ht="22.05" customHeight="1" x14ac:dyDescent="0.3">
      <c r="A2" s="76" t="s">
        <v>28</v>
      </c>
      <c r="B2" s="77"/>
      <c r="C2" s="77"/>
      <c r="D2" s="77"/>
      <c r="E2" s="77"/>
      <c r="F2" s="77"/>
      <c r="G2" s="77"/>
      <c r="H2" s="77"/>
      <c r="I2" s="77"/>
    </row>
    <row r="3" spans="1:9" ht="41.4" customHeight="1" x14ac:dyDescent="0.3">
      <c r="A3" s="40" t="s">
        <v>2</v>
      </c>
      <c r="B3" s="41" t="s">
        <v>3</v>
      </c>
      <c r="C3" s="41" t="s">
        <v>29</v>
      </c>
      <c r="D3" s="41" t="s">
        <v>30</v>
      </c>
      <c r="E3" s="41" t="s">
        <v>31</v>
      </c>
      <c r="F3" s="41" t="s">
        <v>32</v>
      </c>
      <c r="G3" s="41" t="s">
        <v>33</v>
      </c>
      <c r="H3" s="41" t="s">
        <v>34</v>
      </c>
      <c r="I3" s="42" t="s">
        <v>35</v>
      </c>
    </row>
    <row r="4" spans="1:9" ht="18" customHeight="1" x14ac:dyDescent="0.3">
      <c r="A4" s="36" t="s">
        <v>240</v>
      </c>
      <c r="B4" s="24" t="s">
        <v>14</v>
      </c>
      <c r="C4" s="27">
        <v>38</v>
      </c>
      <c r="D4" s="27">
        <v>34</v>
      </c>
      <c r="E4" s="9">
        <f t="shared" ref="E4:E15" si="0">D4/C4</f>
        <v>0.89473684210526316</v>
      </c>
      <c r="F4" s="27">
        <v>1</v>
      </c>
      <c r="G4" s="10">
        <f t="shared" ref="G4:G15" si="1">F4/C4</f>
        <v>2.6315789473684209E-2</v>
      </c>
      <c r="H4" s="11">
        <v>8.8000000000000007</v>
      </c>
      <c r="I4" s="50" t="s">
        <v>36</v>
      </c>
    </row>
    <row r="5" spans="1:9" ht="18" customHeight="1" x14ac:dyDescent="0.3">
      <c r="A5" s="37" t="s">
        <v>241</v>
      </c>
      <c r="B5" s="25" t="s">
        <v>15</v>
      </c>
      <c r="C5" s="28">
        <v>30</v>
      </c>
      <c r="D5" s="28">
        <v>27</v>
      </c>
      <c r="E5" s="9">
        <f t="shared" si="0"/>
        <v>0.9</v>
      </c>
      <c r="F5" s="28">
        <v>0</v>
      </c>
      <c r="G5" s="12">
        <f t="shared" si="1"/>
        <v>0</v>
      </c>
      <c r="H5" s="11">
        <v>8.1999999999999993</v>
      </c>
      <c r="I5" s="50" t="s">
        <v>36</v>
      </c>
    </row>
    <row r="6" spans="1:9" ht="18" customHeight="1" x14ac:dyDescent="0.3">
      <c r="A6" s="36" t="s">
        <v>242</v>
      </c>
      <c r="B6" s="24" t="s">
        <v>16</v>
      </c>
      <c r="C6" s="27">
        <v>29</v>
      </c>
      <c r="D6" s="27">
        <v>26</v>
      </c>
      <c r="E6" s="9">
        <f t="shared" si="0"/>
        <v>0.89655172413793105</v>
      </c>
      <c r="F6" s="27">
        <v>0</v>
      </c>
      <c r="G6" s="12">
        <f t="shared" si="1"/>
        <v>0</v>
      </c>
      <c r="H6" s="13">
        <v>7.5</v>
      </c>
      <c r="I6" s="50" t="s">
        <v>36</v>
      </c>
    </row>
    <row r="7" spans="1:9" ht="18" customHeight="1" x14ac:dyDescent="0.3">
      <c r="A7" s="37" t="s">
        <v>243</v>
      </c>
      <c r="B7" s="25" t="s">
        <v>17</v>
      </c>
      <c r="C7" s="28">
        <v>41</v>
      </c>
      <c r="D7" s="28">
        <v>36</v>
      </c>
      <c r="E7" s="9">
        <f t="shared" si="0"/>
        <v>0.87804878048780488</v>
      </c>
      <c r="F7" s="28">
        <v>0</v>
      </c>
      <c r="G7" s="12">
        <f t="shared" si="1"/>
        <v>0</v>
      </c>
      <c r="H7" s="13">
        <v>7.5</v>
      </c>
      <c r="I7" s="50" t="s">
        <v>36</v>
      </c>
    </row>
    <row r="8" spans="1:9" ht="18" customHeight="1" x14ac:dyDescent="0.3">
      <c r="A8" s="36" t="s">
        <v>244</v>
      </c>
      <c r="B8" s="24" t="s">
        <v>18</v>
      </c>
      <c r="C8" s="27">
        <v>41</v>
      </c>
      <c r="D8" s="27">
        <v>36</v>
      </c>
      <c r="E8" s="10">
        <f t="shared" si="0"/>
        <v>0.87804878048780488</v>
      </c>
      <c r="F8" s="27">
        <v>2</v>
      </c>
      <c r="G8" s="10">
        <f t="shared" si="1"/>
        <v>4.878048780487805E-2</v>
      </c>
      <c r="H8" s="13">
        <v>7.5</v>
      </c>
      <c r="I8" s="50" t="s">
        <v>36</v>
      </c>
    </row>
    <row r="9" spans="1:9" ht="18" customHeight="1" x14ac:dyDescent="0.3">
      <c r="A9" s="37" t="s">
        <v>245</v>
      </c>
      <c r="B9" s="25" t="s">
        <v>19</v>
      </c>
      <c r="C9" s="28">
        <v>35</v>
      </c>
      <c r="D9" s="28">
        <v>31</v>
      </c>
      <c r="E9" s="9">
        <f t="shared" si="0"/>
        <v>0.88571428571428568</v>
      </c>
      <c r="F9" s="28">
        <v>0</v>
      </c>
      <c r="G9" s="12">
        <f t="shared" si="1"/>
        <v>0</v>
      </c>
      <c r="H9" s="11">
        <v>8.4</v>
      </c>
      <c r="I9" s="51">
        <v>3.3</v>
      </c>
    </row>
    <row r="10" spans="1:9" ht="18" customHeight="1" x14ac:dyDescent="0.3">
      <c r="A10" s="36" t="s">
        <v>246</v>
      </c>
      <c r="B10" s="24" t="s">
        <v>20</v>
      </c>
      <c r="C10" s="27">
        <v>35</v>
      </c>
      <c r="D10" s="27">
        <v>31</v>
      </c>
      <c r="E10" s="10">
        <f t="shared" si="0"/>
        <v>0.88571428571428568</v>
      </c>
      <c r="F10" s="27">
        <v>0</v>
      </c>
      <c r="G10" s="12">
        <f t="shared" si="1"/>
        <v>0</v>
      </c>
      <c r="H10" s="13">
        <v>7.8</v>
      </c>
      <c r="I10" s="51">
        <v>3.2</v>
      </c>
    </row>
    <row r="11" spans="1:9" ht="18" customHeight="1" x14ac:dyDescent="0.3">
      <c r="A11" s="37" t="s">
        <v>247</v>
      </c>
      <c r="B11" s="25" t="s">
        <v>21</v>
      </c>
      <c r="C11" s="28">
        <v>31</v>
      </c>
      <c r="D11" s="28">
        <v>28</v>
      </c>
      <c r="E11" s="9">
        <f t="shared" si="0"/>
        <v>0.90322580645161288</v>
      </c>
      <c r="F11" s="28">
        <v>0</v>
      </c>
      <c r="G11" s="12">
        <f t="shared" si="1"/>
        <v>0</v>
      </c>
      <c r="H11" s="13">
        <v>7.4</v>
      </c>
      <c r="I11" s="51">
        <v>3.3</v>
      </c>
    </row>
    <row r="12" spans="1:9" ht="18" customHeight="1" x14ac:dyDescent="0.3">
      <c r="A12" s="36" t="s">
        <v>248</v>
      </c>
      <c r="B12" s="24" t="s">
        <v>22</v>
      </c>
      <c r="C12" s="27">
        <v>34</v>
      </c>
      <c r="D12" s="27">
        <v>30</v>
      </c>
      <c r="E12" s="9">
        <f t="shared" si="0"/>
        <v>0.88235294117647056</v>
      </c>
      <c r="F12" s="27">
        <v>0</v>
      </c>
      <c r="G12" s="12">
        <f t="shared" si="1"/>
        <v>0</v>
      </c>
      <c r="H12" s="11">
        <v>8.1999999999999993</v>
      </c>
      <c r="I12" s="51">
        <v>3.4</v>
      </c>
    </row>
    <row r="13" spans="1:9" ht="18" customHeight="1" x14ac:dyDescent="0.3">
      <c r="A13" s="37" t="s">
        <v>249</v>
      </c>
      <c r="B13" s="25" t="s">
        <v>23</v>
      </c>
      <c r="C13" s="28">
        <v>43</v>
      </c>
      <c r="D13" s="28">
        <v>39</v>
      </c>
      <c r="E13" s="9">
        <f t="shared" si="0"/>
        <v>0.90697674418604646</v>
      </c>
      <c r="F13" s="28">
        <v>1</v>
      </c>
      <c r="G13" s="9">
        <f t="shared" si="1"/>
        <v>2.3255813953488372E-2</v>
      </c>
      <c r="H13" s="11">
        <v>8.6</v>
      </c>
      <c r="I13" s="51">
        <v>3.4</v>
      </c>
    </row>
    <row r="14" spans="1:9" ht="18" customHeight="1" x14ac:dyDescent="0.3">
      <c r="A14" s="36" t="s">
        <v>250</v>
      </c>
      <c r="B14" s="24" t="s">
        <v>24</v>
      </c>
      <c r="C14" s="27">
        <v>42</v>
      </c>
      <c r="D14" s="27">
        <v>37</v>
      </c>
      <c r="E14" s="9">
        <f t="shared" si="0"/>
        <v>0.88095238095238093</v>
      </c>
      <c r="F14" s="27">
        <v>0</v>
      </c>
      <c r="G14" s="12">
        <f t="shared" si="1"/>
        <v>0</v>
      </c>
      <c r="H14" s="11">
        <v>8.6</v>
      </c>
      <c r="I14" s="51">
        <v>3.4</v>
      </c>
    </row>
    <row r="15" spans="1:9" ht="18" customHeight="1" x14ac:dyDescent="0.3">
      <c r="A15" s="43" t="s">
        <v>251</v>
      </c>
      <c r="B15" s="44" t="s">
        <v>25</v>
      </c>
      <c r="C15" s="45">
        <v>35</v>
      </c>
      <c r="D15" s="45">
        <v>31</v>
      </c>
      <c r="E15" s="52">
        <f t="shared" si="0"/>
        <v>0.88571428571428568</v>
      </c>
      <c r="F15" s="45">
        <v>1</v>
      </c>
      <c r="G15" s="53">
        <f t="shared" si="1"/>
        <v>2.8571428571428571E-2</v>
      </c>
      <c r="H15" s="54">
        <v>8</v>
      </c>
      <c r="I15" s="55">
        <v>3.5</v>
      </c>
    </row>
    <row r="16" spans="1:9" ht="18" customHeight="1" x14ac:dyDescent="0.3">
      <c r="A16" s="6" t="s">
        <v>37</v>
      </c>
      <c r="B16" s="7"/>
      <c r="C16" s="29">
        <f>SUM(C4:C15)</f>
        <v>434</v>
      </c>
      <c r="D16" s="29">
        <f>SUM(D4:D15)</f>
        <v>386</v>
      </c>
      <c r="E16" s="20">
        <f>AVERAGE(E4:E15)</f>
        <v>0.88983640476068115</v>
      </c>
      <c r="F16" s="29">
        <f>SUM(F4:F15)</f>
        <v>5</v>
      </c>
      <c r="G16" s="20">
        <f>AVERAGE(G4:G15)</f>
        <v>1.0576959983623268E-2</v>
      </c>
      <c r="H16" s="26">
        <f>AVERAGE(H4:H15)</f>
        <v>8.0416666666666661</v>
      </c>
      <c r="I16" s="30" t="s">
        <v>38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>
      <pane ySplit="3" topLeftCell="A4" activePane="bottomLeft" state="frozen"/>
      <selection pane="bottomLeft" activeCell="E19" sqref="E19"/>
    </sheetView>
  </sheetViews>
  <sheetFormatPr baseColWidth="10" defaultColWidth="8.88671875" defaultRowHeight="14.4" x14ac:dyDescent="0.3"/>
  <cols>
    <col min="1" max="1" width="17.33203125" customWidth="1"/>
    <col min="2" max="2" width="10" customWidth="1"/>
    <col min="3" max="4" width="18" customWidth="1"/>
    <col min="5" max="5" width="24.6640625" customWidth="1"/>
    <col min="6" max="6" width="17.109375" customWidth="1"/>
    <col min="7" max="7" width="16" customWidth="1"/>
    <col min="8" max="8" width="28.6640625" customWidth="1"/>
    <col min="9" max="9" width="20" customWidth="1"/>
    <col min="10" max="10" width="22" customWidth="1"/>
    <col min="11" max="11" width="20" customWidth="1"/>
  </cols>
  <sheetData>
    <row r="1" spans="1:11" ht="22.05" customHeight="1" x14ac:dyDescent="0.3">
      <c r="A1" s="78" t="s">
        <v>39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2.05" customHeight="1" x14ac:dyDescent="0.3">
      <c r="A2" s="76" t="s">
        <v>40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43.8" customHeight="1" x14ac:dyDescent="0.3">
      <c r="A3" s="40" t="s">
        <v>2</v>
      </c>
      <c r="B3" s="41" t="s">
        <v>3</v>
      </c>
      <c r="C3" s="41" t="s">
        <v>41</v>
      </c>
      <c r="D3" s="41" t="s">
        <v>42</v>
      </c>
      <c r="E3" s="41" t="s">
        <v>43</v>
      </c>
      <c r="F3" s="41" t="s">
        <v>44</v>
      </c>
      <c r="G3" s="41" t="s">
        <v>45</v>
      </c>
      <c r="H3" s="41" t="s">
        <v>46</v>
      </c>
      <c r="I3" s="41" t="s">
        <v>47</v>
      </c>
      <c r="J3" s="41" t="s">
        <v>48</v>
      </c>
      <c r="K3" s="42" t="s">
        <v>49</v>
      </c>
    </row>
    <row r="4" spans="1:11" ht="18" customHeight="1" x14ac:dyDescent="0.3">
      <c r="A4" s="36" t="s">
        <v>240</v>
      </c>
      <c r="B4" s="1" t="s">
        <v>14</v>
      </c>
      <c r="C4" s="10">
        <v>0.77</v>
      </c>
      <c r="D4" s="1">
        <v>18</v>
      </c>
      <c r="E4" s="1">
        <v>25</v>
      </c>
      <c r="F4" s="10">
        <f t="shared" ref="F4:F15" si="0">D4/E4</f>
        <v>0.72</v>
      </c>
      <c r="G4" s="14">
        <v>3</v>
      </c>
      <c r="H4" s="1">
        <v>3</v>
      </c>
      <c r="I4" s="10">
        <v>0.55900000000000005</v>
      </c>
      <c r="J4" s="10">
        <v>0.66</v>
      </c>
      <c r="K4" s="56">
        <v>5</v>
      </c>
    </row>
    <row r="5" spans="1:11" ht="18" customHeight="1" x14ac:dyDescent="0.3">
      <c r="A5" s="37" t="s">
        <v>241</v>
      </c>
      <c r="B5" s="4" t="s">
        <v>15</v>
      </c>
      <c r="C5" s="10">
        <v>0.78800000000000003</v>
      </c>
      <c r="D5" s="4">
        <v>15</v>
      </c>
      <c r="E5" s="4">
        <v>21</v>
      </c>
      <c r="F5" s="10">
        <f t="shared" si="0"/>
        <v>0.7142857142857143</v>
      </c>
      <c r="G5" s="14">
        <v>3</v>
      </c>
      <c r="H5" s="4">
        <v>3</v>
      </c>
      <c r="I5" s="10">
        <v>0.56899999999999995</v>
      </c>
      <c r="J5" s="10">
        <v>0.626</v>
      </c>
      <c r="K5" s="56">
        <v>3</v>
      </c>
    </row>
    <row r="6" spans="1:11" ht="18" customHeight="1" x14ac:dyDescent="0.3">
      <c r="A6" s="36" t="s">
        <v>242</v>
      </c>
      <c r="B6" s="1" t="s">
        <v>16</v>
      </c>
      <c r="C6" s="10">
        <v>0.79200000000000004</v>
      </c>
      <c r="D6" s="1">
        <v>15</v>
      </c>
      <c r="E6" s="1">
        <v>20</v>
      </c>
      <c r="F6" s="10">
        <f t="shared" si="0"/>
        <v>0.75</v>
      </c>
      <c r="G6" s="14">
        <v>3</v>
      </c>
      <c r="H6" s="1">
        <v>2</v>
      </c>
      <c r="I6" s="10">
        <v>0.58199999999999996</v>
      </c>
      <c r="J6" s="10">
        <v>0.67700000000000005</v>
      </c>
      <c r="K6" s="56">
        <v>5</v>
      </c>
    </row>
    <row r="7" spans="1:11" ht="18" customHeight="1" x14ac:dyDescent="0.3">
      <c r="A7" s="37" t="s">
        <v>243</v>
      </c>
      <c r="B7" s="4" t="s">
        <v>17</v>
      </c>
      <c r="C7" s="10">
        <v>0.8</v>
      </c>
      <c r="D7" s="4">
        <v>18</v>
      </c>
      <c r="E7" s="4">
        <v>25</v>
      </c>
      <c r="F7" s="10">
        <f t="shared" si="0"/>
        <v>0.72</v>
      </c>
      <c r="G7" s="14">
        <v>3</v>
      </c>
      <c r="H7" s="4">
        <v>4</v>
      </c>
      <c r="I7" s="10">
        <v>0.55600000000000005</v>
      </c>
      <c r="J7" s="10">
        <v>0.64700000000000002</v>
      </c>
      <c r="K7" s="56">
        <v>5</v>
      </c>
    </row>
    <row r="8" spans="1:11" ht="18" customHeight="1" x14ac:dyDescent="0.3">
      <c r="A8" s="36" t="s">
        <v>244</v>
      </c>
      <c r="B8" s="1" t="s">
        <v>18</v>
      </c>
      <c r="C8" s="10">
        <v>0.79200000000000004</v>
      </c>
      <c r="D8" s="1">
        <v>17</v>
      </c>
      <c r="E8" s="1">
        <v>23</v>
      </c>
      <c r="F8" s="10">
        <f t="shared" si="0"/>
        <v>0.73913043478260865</v>
      </c>
      <c r="G8" s="14">
        <v>3</v>
      </c>
      <c r="H8" s="1">
        <v>7</v>
      </c>
      <c r="I8" s="10">
        <v>0.55800000000000005</v>
      </c>
      <c r="J8" s="10">
        <v>0.64400000000000002</v>
      </c>
      <c r="K8" s="56">
        <v>5</v>
      </c>
    </row>
    <row r="9" spans="1:11" ht="18" customHeight="1" x14ac:dyDescent="0.3">
      <c r="A9" s="37" t="s">
        <v>245</v>
      </c>
      <c r="B9" s="4" t="s">
        <v>19</v>
      </c>
      <c r="C9" s="10">
        <v>0.80400000000000005</v>
      </c>
      <c r="D9" s="4">
        <v>16</v>
      </c>
      <c r="E9" s="4">
        <v>22</v>
      </c>
      <c r="F9" s="10">
        <f t="shared" si="0"/>
        <v>0.72727272727272729</v>
      </c>
      <c r="G9" s="14">
        <v>3</v>
      </c>
      <c r="H9" s="4">
        <v>7</v>
      </c>
      <c r="I9" s="10">
        <v>0.60299999999999998</v>
      </c>
      <c r="J9" s="10">
        <v>0.66700000000000004</v>
      </c>
      <c r="K9" s="56">
        <v>5</v>
      </c>
    </row>
    <row r="10" spans="1:11" ht="18" customHeight="1" x14ac:dyDescent="0.3">
      <c r="A10" s="36" t="s">
        <v>246</v>
      </c>
      <c r="B10" s="1" t="s">
        <v>20</v>
      </c>
      <c r="C10" s="10">
        <v>0.79600000000000004</v>
      </c>
      <c r="D10" s="1">
        <v>16</v>
      </c>
      <c r="E10" s="1">
        <v>22</v>
      </c>
      <c r="F10" s="10">
        <f t="shared" si="0"/>
        <v>0.72727272727272729</v>
      </c>
      <c r="G10" s="14">
        <v>3</v>
      </c>
      <c r="H10" s="1">
        <v>4</v>
      </c>
      <c r="I10" s="10">
        <v>0.57099999999999995</v>
      </c>
      <c r="J10" s="10">
        <v>0.66100000000000003</v>
      </c>
      <c r="K10" s="56">
        <v>4</v>
      </c>
    </row>
    <row r="11" spans="1:11" ht="18" customHeight="1" x14ac:dyDescent="0.3">
      <c r="A11" s="37" t="s">
        <v>247</v>
      </c>
      <c r="B11" s="4" t="s">
        <v>21</v>
      </c>
      <c r="C11" s="10">
        <v>0.81200000000000006</v>
      </c>
      <c r="D11" s="4">
        <v>18</v>
      </c>
      <c r="E11" s="4">
        <v>24</v>
      </c>
      <c r="F11" s="10">
        <f t="shared" si="0"/>
        <v>0.75</v>
      </c>
      <c r="G11" s="14">
        <v>3</v>
      </c>
      <c r="H11" s="4">
        <v>3</v>
      </c>
      <c r="I11" s="10">
        <v>0.60699999999999998</v>
      </c>
      <c r="J11" s="10">
        <v>0.69099999999999995</v>
      </c>
      <c r="K11" s="56">
        <v>4</v>
      </c>
    </row>
    <row r="12" spans="1:11" ht="18" customHeight="1" x14ac:dyDescent="0.3">
      <c r="A12" s="36" t="s">
        <v>248</v>
      </c>
      <c r="B12" s="1" t="s">
        <v>22</v>
      </c>
      <c r="C12" s="10">
        <v>0.79600000000000004</v>
      </c>
      <c r="D12" s="1">
        <v>19</v>
      </c>
      <c r="E12" s="1">
        <v>25</v>
      </c>
      <c r="F12" s="10">
        <f t="shared" si="0"/>
        <v>0.76</v>
      </c>
      <c r="G12" s="14">
        <v>3</v>
      </c>
      <c r="H12" s="1">
        <v>7</v>
      </c>
      <c r="I12" s="10">
        <v>0.58399999999999996</v>
      </c>
      <c r="J12" s="10">
        <v>0.70599999999999996</v>
      </c>
      <c r="K12" s="56">
        <v>4</v>
      </c>
    </row>
    <row r="13" spans="1:11" ht="18" customHeight="1" x14ac:dyDescent="0.3">
      <c r="A13" s="37" t="s">
        <v>249</v>
      </c>
      <c r="B13" s="4" t="s">
        <v>23</v>
      </c>
      <c r="C13" s="10">
        <v>0.80200000000000005</v>
      </c>
      <c r="D13" s="4">
        <v>19</v>
      </c>
      <c r="E13" s="4">
        <v>25</v>
      </c>
      <c r="F13" s="10">
        <f t="shared" si="0"/>
        <v>0.76</v>
      </c>
      <c r="G13" s="14">
        <v>3</v>
      </c>
      <c r="H13" s="4">
        <v>3</v>
      </c>
      <c r="I13" s="10">
        <v>0.60699999999999998</v>
      </c>
      <c r="J13" s="10">
        <v>0.70199999999999996</v>
      </c>
      <c r="K13" s="56">
        <v>4</v>
      </c>
    </row>
    <row r="14" spans="1:11" ht="18" customHeight="1" x14ac:dyDescent="0.3">
      <c r="A14" s="36" t="s">
        <v>250</v>
      </c>
      <c r="B14" s="1" t="s">
        <v>24</v>
      </c>
      <c r="C14" s="10">
        <v>0.81399999999999995</v>
      </c>
      <c r="D14" s="1">
        <v>16</v>
      </c>
      <c r="E14" s="1">
        <v>22</v>
      </c>
      <c r="F14" s="10">
        <f t="shared" si="0"/>
        <v>0.72727272727272729</v>
      </c>
      <c r="G14" s="14">
        <v>3</v>
      </c>
      <c r="H14" s="1">
        <v>4</v>
      </c>
      <c r="I14" s="10">
        <v>0.59899999999999998</v>
      </c>
      <c r="J14" s="10">
        <v>0.70099999999999996</v>
      </c>
      <c r="K14" s="57">
        <v>6</v>
      </c>
    </row>
    <row r="15" spans="1:11" ht="18" customHeight="1" x14ac:dyDescent="0.3">
      <c r="A15" s="43" t="s">
        <v>251</v>
      </c>
      <c r="B15" s="58" t="s">
        <v>25</v>
      </c>
      <c r="C15" s="53">
        <v>0.81499999999999995</v>
      </c>
      <c r="D15" s="58">
        <v>16</v>
      </c>
      <c r="E15" s="58">
        <v>21</v>
      </c>
      <c r="F15" s="53">
        <f t="shared" si="0"/>
        <v>0.76190476190476186</v>
      </c>
      <c r="G15" s="59">
        <v>2</v>
      </c>
      <c r="H15" s="58">
        <v>6</v>
      </c>
      <c r="I15" s="53">
        <v>0.57499999999999996</v>
      </c>
      <c r="J15" s="53">
        <v>0.70799999999999996</v>
      </c>
      <c r="K15" s="60">
        <v>4</v>
      </c>
    </row>
    <row r="16" spans="1:11" ht="18" customHeight="1" x14ac:dyDescent="0.3">
      <c r="A16" s="6" t="s">
        <v>37</v>
      </c>
      <c r="B16" s="7"/>
      <c r="C16" s="20">
        <f>AVERAGE(C4:C15)</f>
        <v>0.79841666666666677</v>
      </c>
      <c r="D16" s="8">
        <f>SUM(D4:D15)</f>
        <v>203</v>
      </c>
      <c r="E16" s="8">
        <f>SUM(E4:E15)</f>
        <v>275</v>
      </c>
      <c r="F16" s="20">
        <f>AVERAGE(F4:F15)</f>
        <v>0.73809492439927205</v>
      </c>
      <c r="G16" s="8">
        <f>SUM(G4:G15)</f>
        <v>35</v>
      </c>
      <c r="H16" s="8">
        <f>SUM(H4:H15)</f>
        <v>53</v>
      </c>
      <c r="I16" s="20">
        <f>AVERAGE(I4:I15)</f>
        <v>0.58083333333333331</v>
      </c>
      <c r="J16" s="20">
        <f>AVERAGE(J4:J15)</f>
        <v>0.67416666666666669</v>
      </c>
      <c r="K16" s="8">
        <f>SUM(K4:K15)</f>
        <v>54</v>
      </c>
    </row>
  </sheetData>
  <mergeCells count="2">
    <mergeCell ref="A2:K2"/>
    <mergeCell ref="A1:K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pane ySplit="3" topLeftCell="A4" activePane="bottomLeft" state="frozen"/>
      <selection pane="bottomLeft" sqref="A1:J2"/>
    </sheetView>
  </sheetViews>
  <sheetFormatPr baseColWidth="10" defaultColWidth="8.88671875" defaultRowHeight="14.4" x14ac:dyDescent="0.3"/>
  <cols>
    <col min="1" max="1" width="10" customWidth="1"/>
    <col min="2" max="2" width="16.109375" customWidth="1"/>
    <col min="3" max="3" width="18" customWidth="1"/>
    <col min="4" max="4" width="20" customWidth="1"/>
    <col min="5" max="5" width="38" customWidth="1"/>
    <col min="6" max="6" width="30" customWidth="1"/>
    <col min="7" max="7" width="38" customWidth="1"/>
    <col min="8" max="8" width="20" customWidth="1"/>
    <col min="9" max="9" width="14" customWidth="1"/>
    <col min="10" max="10" width="12" customWidth="1"/>
  </cols>
  <sheetData>
    <row r="1" spans="1:10" ht="22.05" customHeight="1" x14ac:dyDescent="0.3">
      <c r="A1" s="78" t="s">
        <v>50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2.05" customHeight="1" x14ac:dyDescent="0.3">
      <c r="A2" s="76" t="s">
        <v>51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31.95" customHeight="1" x14ac:dyDescent="0.3">
      <c r="A3" s="40" t="s">
        <v>52</v>
      </c>
      <c r="B3" s="41" t="s">
        <v>53</v>
      </c>
      <c r="C3" s="41" t="s">
        <v>54</v>
      </c>
      <c r="D3" s="41" t="s">
        <v>55</v>
      </c>
      <c r="E3" s="41" t="s">
        <v>56</v>
      </c>
      <c r="F3" s="41" t="s">
        <v>57</v>
      </c>
      <c r="G3" s="41" t="s">
        <v>58</v>
      </c>
      <c r="H3" s="41" t="s">
        <v>59</v>
      </c>
      <c r="I3" s="41" t="s">
        <v>60</v>
      </c>
      <c r="J3" s="42" t="s">
        <v>61</v>
      </c>
    </row>
    <row r="4" spans="1:10" ht="37.950000000000003" customHeight="1" x14ac:dyDescent="0.3">
      <c r="A4" s="61" t="s">
        <v>62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63" t="s">
        <v>71</v>
      </c>
    </row>
    <row r="5" spans="1:10" ht="37.950000000000003" customHeight="1" x14ac:dyDescent="0.3">
      <c r="A5" s="62" t="s">
        <v>72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80</v>
      </c>
      <c r="J5" s="63" t="s">
        <v>71</v>
      </c>
    </row>
    <row r="6" spans="1:10" ht="37.950000000000003" customHeight="1" x14ac:dyDescent="0.3">
      <c r="A6" s="61" t="s">
        <v>81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79</v>
      </c>
      <c r="I6" s="1" t="s">
        <v>88</v>
      </c>
      <c r="J6" s="64" t="s">
        <v>89</v>
      </c>
    </row>
    <row r="7" spans="1:10" ht="37.950000000000003" customHeight="1" x14ac:dyDescent="0.3">
      <c r="A7" s="62" t="s">
        <v>90</v>
      </c>
      <c r="B7" s="4" t="s">
        <v>91</v>
      </c>
      <c r="C7" s="4" t="s">
        <v>64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64" t="s">
        <v>89</v>
      </c>
    </row>
    <row r="8" spans="1:10" ht="37.950000000000003" customHeight="1" x14ac:dyDescent="0.3">
      <c r="A8" s="61" t="s">
        <v>98</v>
      </c>
      <c r="B8" s="1" t="s">
        <v>99</v>
      </c>
      <c r="C8" s="1" t="s">
        <v>100</v>
      </c>
      <c r="D8" s="1" t="s">
        <v>75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64" t="s">
        <v>89</v>
      </c>
    </row>
    <row r="9" spans="1:10" ht="37.950000000000003" customHeight="1" x14ac:dyDescent="0.3">
      <c r="A9" s="62" t="s">
        <v>106</v>
      </c>
      <c r="B9" s="4" t="s">
        <v>107</v>
      </c>
      <c r="C9" s="4" t="s">
        <v>74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65" t="s">
        <v>114</v>
      </c>
    </row>
    <row r="10" spans="1:10" ht="37.950000000000003" customHeight="1" x14ac:dyDescent="0.3">
      <c r="A10" s="61" t="s">
        <v>115</v>
      </c>
      <c r="B10" s="1" t="s">
        <v>97</v>
      </c>
      <c r="C10" s="1" t="s">
        <v>64</v>
      </c>
      <c r="D10" s="1" t="s">
        <v>65</v>
      </c>
      <c r="E10" s="1" t="s">
        <v>116</v>
      </c>
      <c r="F10" s="1" t="s">
        <v>117</v>
      </c>
      <c r="G10" s="1" t="s">
        <v>118</v>
      </c>
      <c r="H10" s="1" t="s">
        <v>119</v>
      </c>
      <c r="I10" s="1" t="s">
        <v>120</v>
      </c>
      <c r="J10" s="65" t="s">
        <v>114</v>
      </c>
    </row>
    <row r="11" spans="1:10" ht="37.950000000000003" customHeight="1" x14ac:dyDescent="0.3">
      <c r="A11" s="66" t="s">
        <v>121</v>
      </c>
      <c r="B11" s="58" t="s">
        <v>122</v>
      </c>
      <c r="C11" s="58" t="s">
        <v>123</v>
      </c>
      <c r="D11" s="58" t="s">
        <v>124</v>
      </c>
      <c r="E11" s="58" t="s">
        <v>125</v>
      </c>
      <c r="F11" s="58" t="s">
        <v>126</v>
      </c>
      <c r="G11" s="58" t="s">
        <v>127</v>
      </c>
      <c r="H11" s="58" t="s">
        <v>128</v>
      </c>
      <c r="I11" s="58" t="s">
        <v>129</v>
      </c>
      <c r="J11" s="67" t="s">
        <v>114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pane ySplit="3" topLeftCell="A4" activePane="bottomLeft" state="frozen"/>
      <selection pane="bottomLeft" activeCell="E14" sqref="E14"/>
    </sheetView>
  </sheetViews>
  <sheetFormatPr baseColWidth="10" defaultColWidth="8.88671875" defaultRowHeight="14.4" x14ac:dyDescent="0.3"/>
  <cols>
    <col min="1" max="1" width="10.33203125" customWidth="1"/>
    <col min="2" max="2" width="30" customWidth="1"/>
    <col min="3" max="3" width="10" customWidth="1"/>
    <col min="4" max="4" width="20" customWidth="1"/>
    <col min="5" max="5" width="14" customWidth="1"/>
    <col min="6" max="6" width="38" customWidth="1"/>
    <col min="7" max="7" width="40" customWidth="1"/>
  </cols>
  <sheetData>
    <row r="1" spans="1:7" ht="22.05" customHeight="1" x14ac:dyDescent="0.3">
      <c r="A1" s="78" t="s">
        <v>130</v>
      </c>
      <c r="B1" s="77"/>
      <c r="C1" s="77"/>
      <c r="D1" s="77"/>
      <c r="E1" s="77"/>
      <c r="F1" s="77"/>
      <c r="G1" s="77"/>
    </row>
    <row r="2" spans="1:7" ht="22.05" customHeight="1" x14ac:dyDescent="0.3">
      <c r="A2" s="76" t="s">
        <v>131</v>
      </c>
      <c r="B2" s="77"/>
      <c r="C2" s="77"/>
      <c r="D2" s="77"/>
      <c r="E2" s="77"/>
      <c r="F2" s="77"/>
      <c r="G2" s="77"/>
    </row>
    <row r="3" spans="1:7" ht="31.95" customHeight="1" x14ac:dyDescent="0.3">
      <c r="A3" s="40" t="s">
        <v>132</v>
      </c>
      <c r="B3" s="41" t="s">
        <v>133</v>
      </c>
      <c r="C3" s="41" t="s">
        <v>134</v>
      </c>
      <c r="D3" s="41" t="s">
        <v>135</v>
      </c>
      <c r="E3" s="41" t="s">
        <v>61</v>
      </c>
      <c r="F3" s="41" t="s">
        <v>136</v>
      </c>
      <c r="G3" s="42" t="s">
        <v>137</v>
      </c>
    </row>
    <row r="4" spans="1:7" ht="37.950000000000003" customHeight="1" x14ac:dyDescent="0.3">
      <c r="A4" s="61" t="s">
        <v>138</v>
      </c>
      <c r="B4" s="1" t="s">
        <v>139</v>
      </c>
      <c r="C4" s="34" t="s">
        <v>140</v>
      </c>
      <c r="D4" s="31" t="s">
        <v>141</v>
      </c>
      <c r="E4" s="15" t="s">
        <v>89</v>
      </c>
      <c r="F4" s="1" t="s">
        <v>142</v>
      </c>
      <c r="G4" s="68" t="s">
        <v>143</v>
      </c>
    </row>
    <row r="5" spans="1:7" ht="37.950000000000003" customHeight="1" x14ac:dyDescent="0.3">
      <c r="A5" s="62" t="s">
        <v>144</v>
      </c>
      <c r="B5" s="4" t="s">
        <v>145</v>
      </c>
      <c r="C5" s="35" t="s">
        <v>146</v>
      </c>
      <c r="D5" s="31" t="s">
        <v>147</v>
      </c>
      <c r="E5" s="15" t="s">
        <v>89</v>
      </c>
      <c r="F5" s="4" t="s">
        <v>148</v>
      </c>
      <c r="G5" s="69" t="s">
        <v>149</v>
      </c>
    </row>
    <row r="6" spans="1:7" ht="37.950000000000003" customHeight="1" x14ac:dyDescent="0.3">
      <c r="A6" s="61" t="s">
        <v>150</v>
      </c>
      <c r="B6" s="1" t="s">
        <v>151</v>
      </c>
      <c r="C6" s="34" t="s">
        <v>152</v>
      </c>
      <c r="D6" s="31" t="s">
        <v>153</v>
      </c>
      <c r="E6" s="15" t="s">
        <v>89</v>
      </c>
      <c r="F6" s="1" t="s">
        <v>154</v>
      </c>
      <c r="G6" s="68" t="s">
        <v>155</v>
      </c>
    </row>
    <row r="7" spans="1:7" ht="37.950000000000003" customHeight="1" x14ac:dyDescent="0.3">
      <c r="A7" s="62" t="s">
        <v>156</v>
      </c>
      <c r="B7" s="4" t="s">
        <v>157</v>
      </c>
      <c r="C7" s="35" t="s">
        <v>158</v>
      </c>
      <c r="D7" s="31" t="s">
        <v>159</v>
      </c>
      <c r="E7" s="15" t="s">
        <v>89</v>
      </c>
      <c r="F7" s="4" t="s">
        <v>160</v>
      </c>
      <c r="G7" s="69" t="s">
        <v>161</v>
      </c>
    </row>
    <row r="8" spans="1:7" ht="37.950000000000003" customHeight="1" x14ac:dyDescent="0.3">
      <c r="A8" s="61" t="s">
        <v>162</v>
      </c>
      <c r="B8" s="1" t="s">
        <v>163</v>
      </c>
      <c r="C8" s="34" t="s">
        <v>164</v>
      </c>
      <c r="D8" s="32" t="s">
        <v>146</v>
      </c>
      <c r="E8" s="16" t="s">
        <v>165</v>
      </c>
      <c r="F8" s="1" t="s">
        <v>166</v>
      </c>
      <c r="G8" s="68" t="s">
        <v>167</v>
      </c>
    </row>
    <row r="9" spans="1:7" ht="37.950000000000003" customHeight="1" x14ac:dyDescent="0.3">
      <c r="A9" s="62" t="s">
        <v>168</v>
      </c>
      <c r="B9" s="4" t="s">
        <v>169</v>
      </c>
      <c r="C9" s="35" t="s">
        <v>170</v>
      </c>
      <c r="D9" s="32" t="s">
        <v>170</v>
      </c>
      <c r="E9" s="16" t="s">
        <v>165</v>
      </c>
      <c r="F9" s="4" t="s">
        <v>171</v>
      </c>
      <c r="G9" s="69" t="s">
        <v>172</v>
      </c>
    </row>
    <row r="10" spans="1:7" ht="37.950000000000003" customHeight="1" x14ac:dyDescent="0.3">
      <c r="A10" s="70" t="s">
        <v>173</v>
      </c>
      <c r="B10" s="71" t="s">
        <v>174</v>
      </c>
      <c r="C10" s="72" t="s">
        <v>175</v>
      </c>
      <c r="D10" s="73" t="s">
        <v>170</v>
      </c>
      <c r="E10" s="74" t="s">
        <v>165</v>
      </c>
      <c r="F10" s="71" t="s">
        <v>171</v>
      </c>
      <c r="G10" s="75" t="s">
        <v>176</v>
      </c>
    </row>
    <row r="11" spans="1:7" ht="22.05" customHeight="1" x14ac:dyDescent="0.3">
      <c r="A11" s="79" t="s">
        <v>177</v>
      </c>
      <c r="B11" s="80"/>
      <c r="C11" s="81"/>
      <c r="D11" s="33" t="s">
        <v>178</v>
      </c>
      <c r="E11" s="17"/>
      <c r="F11" s="17"/>
      <c r="G11" s="17"/>
    </row>
  </sheetData>
  <mergeCells count="3">
    <mergeCell ref="A11:C11"/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CCC-81EB-4E4D-A7CA-7BF660D8C0D0}">
  <dimension ref="A1:J9"/>
  <sheetViews>
    <sheetView tabSelected="1" workbookViewId="0">
      <selection activeCell="F19" sqref="F19"/>
    </sheetView>
  </sheetViews>
  <sheetFormatPr baseColWidth="10" defaultRowHeight="14.4" x14ac:dyDescent="0.3"/>
  <cols>
    <col min="1" max="1" width="28.21875" bestFit="1" customWidth="1"/>
  </cols>
  <sheetData>
    <row r="1" spans="1:10" x14ac:dyDescent="0.3">
      <c r="A1" s="87" t="s">
        <v>266</v>
      </c>
      <c r="B1" s="87"/>
      <c r="C1" s="87"/>
      <c r="D1" s="85"/>
      <c r="E1" s="85"/>
      <c r="F1" s="85"/>
      <c r="G1" s="85"/>
      <c r="H1" s="85"/>
      <c r="I1" s="85"/>
      <c r="J1" s="85"/>
    </row>
    <row r="2" spans="1:10" x14ac:dyDescent="0.3">
      <c r="A2" s="88" t="s">
        <v>40</v>
      </c>
      <c r="B2" s="88"/>
      <c r="C2" s="88"/>
      <c r="D2" s="85"/>
      <c r="E2" s="85"/>
      <c r="F2" s="85"/>
      <c r="G2" s="85"/>
      <c r="H2" s="85"/>
      <c r="I2" s="85"/>
      <c r="J2" s="85"/>
    </row>
    <row r="3" spans="1:10" x14ac:dyDescent="0.3">
      <c r="A3" s="91" t="s">
        <v>252</v>
      </c>
      <c r="B3" s="92" t="s">
        <v>253</v>
      </c>
      <c r="C3" s="93" t="s">
        <v>61</v>
      </c>
    </row>
    <row r="4" spans="1:10" x14ac:dyDescent="0.3">
      <c r="A4" s="89" t="s">
        <v>254</v>
      </c>
      <c r="B4" s="86" t="s">
        <v>260</v>
      </c>
      <c r="C4" s="90" t="s">
        <v>36</v>
      </c>
    </row>
    <row r="5" spans="1:10" x14ac:dyDescent="0.3">
      <c r="A5" s="89" t="s">
        <v>255</v>
      </c>
      <c r="B5" s="86" t="s">
        <v>261</v>
      </c>
      <c r="C5" s="90" t="s">
        <v>36</v>
      </c>
    </row>
    <row r="6" spans="1:10" x14ac:dyDescent="0.3">
      <c r="A6" s="89" t="s">
        <v>256</v>
      </c>
      <c r="B6" s="86" t="s">
        <v>262</v>
      </c>
      <c r="C6" s="90" t="s">
        <v>36</v>
      </c>
    </row>
    <row r="7" spans="1:10" x14ac:dyDescent="0.3">
      <c r="A7" s="89" t="s">
        <v>257</v>
      </c>
      <c r="B7" s="86" t="s">
        <v>263</v>
      </c>
      <c r="C7" s="90" t="s">
        <v>265</v>
      </c>
    </row>
    <row r="8" spans="1:10" x14ac:dyDescent="0.3">
      <c r="A8" s="89" t="s">
        <v>258</v>
      </c>
      <c r="B8" s="86" t="s">
        <v>264</v>
      </c>
      <c r="C8" s="90" t="s">
        <v>265</v>
      </c>
    </row>
    <row r="9" spans="1:10" x14ac:dyDescent="0.3">
      <c r="A9" s="94" t="s">
        <v>259</v>
      </c>
      <c r="B9" s="95" t="s">
        <v>260</v>
      </c>
      <c r="C9" s="96" t="s">
        <v>265</v>
      </c>
    </row>
  </sheetData>
  <mergeCells count="2">
    <mergeCell ref="A2:C2"/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showGridLines="0" topLeftCell="A17" workbookViewId="0">
      <selection activeCell="B26" sqref="B26:D26"/>
    </sheetView>
  </sheetViews>
  <sheetFormatPr baseColWidth="10" defaultColWidth="8.88671875" defaultRowHeight="14.4" x14ac:dyDescent="0.3"/>
  <cols>
    <col min="1" max="1" width="14" customWidth="1"/>
    <col min="2" max="4" width="30" customWidth="1"/>
  </cols>
  <sheetData>
    <row r="1" spans="1:4" ht="22.05" customHeight="1" x14ac:dyDescent="0.3">
      <c r="A1" s="78" t="s">
        <v>179</v>
      </c>
      <c r="B1" s="77"/>
      <c r="C1" s="77"/>
      <c r="D1" s="77"/>
    </row>
    <row r="2" spans="1:4" ht="22.05" customHeight="1" x14ac:dyDescent="0.3">
      <c r="A2" s="76" t="s">
        <v>180</v>
      </c>
      <c r="B2" s="77"/>
      <c r="C2" s="77"/>
      <c r="D2" s="77"/>
    </row>
    <row r="4" spans="1:4" ht="19.95" customHeight="1" x14ac:dyDescent="0.3">
      <c r="A4" s="83" t="s">
        <v>181</v>
      </c>
      <c r="B4" s="77"/>
      <c r="C4" s="77"/>
      <c r="D4" s="77"/>
    </row>
    <row r="5" spans="1:4" ht="18" customHeight="1" x14ac:dyDescent="0.3">
      <c r="A5" s="18" t="s">
        <v>182</v>
      </c>
      <c r="B5" s="82" t="s">
        <v>183</v>
      </c>
      <c r="C5" s="77"/>
      <c r="D5" s="77"/>
    </row>
    <row r="6" spans="1:4" ht="18" customHeight="1" x14ac:dyDescent="0.3">
      <c r="A6" s="19" t="s">
        <v>184</v>
      </c>
      <c r="B6" s="84" t="s">
        <v>185</v>
      </c>
      <c r="C6" s="77"/>
      <c r="D6" s="77"/>
    </row>
    <row r="7" spans="1:4" ht="18" customHeight="1" x14ac:dyDescent="0.3">
      <c r="A7" s="18" t="s">
        <v>186</v>
      </c>
      <c r="B7" s="82" t="s">
        <v>187</v>
      </c>
      <c r="C7" s="77"/>
      <c r="D7" s="77"/>
    </row>
    <row r="8" spans="1:4" ht="18" customHeight="1" x14ac:dyDescent="0.3">
      <c r="A8" s="19" t="s">
        <v>188</v>
      </c>
      <c r="B8" s="84" t="s">
        <v>189</v>
      </c>
      <c r="C8" s="77"/>
      <c r="D8" s="77"/>
    </row>
    <row r="10" spans="1:4" ht="19.95" customHeight="1" x14ac:dyDescent="0.3">
      <c r="A10" s="83" t="s">
        <v>190</v>
      </c>
      <c r="B10" s="77"/>
      <c r="C10" s="77"/>
      <c r="D10" s="77"/>
    </row>
    <row r="11" spans="1:4" ht="18" customHeight="1" x14ac:dyDescent="0.3">
      <c r="A11" s="18" t="s">
        <v>191</v>
      </c>
      <c r="B11" s="82" t="s">
        <v>192</v>
      </c>
      <c r="C11" s="77"/>
      <c r="D11" s="77"/>
    </row>
    <row r="12" spans="1:4" ht="18" customHeight="1" x14ac:dyDescent="0.3">
      <c r="A12" s="19" t="s">
        <v>193</v>
      </c>
      <c r="B12" s="84" t="s">
        <v>194</v>
      </c>
      <c r="C12" s="77"/>
      <c r="D12" s="77"/>
    </row>
    <row r="13" spans="1:4" ht="18" customHeight="1" x14ac:dyDescent="0.3">
      <c r="A13" s="18" t="s">
        <v>195</v>
      </c>
      <c r="B13" s="82" t="s">
        <v>196</v>
      </c>
      <c r="C13" s="77"/>
      <c r="D13" s="77"/>
    </row>
    <row r="14" spans="1:4" ht="18" customHeight="1" x14ac:dyDescent="0.3">
      <c r="A14" s="19" t="s">
        <v>197</v>
      </c>
      <c r="B14" s="84" t="s">
        <v>198</v>
      </c>
      <c r="C14" s="77"/>
      <c r="D14" s="77"/>
    </row>
    <row r="15" spans="1:4" ht="18" customHeight="1" x14ac:dyDescent="0.3">
      <c r="A15" s="18" t="s">
        <v>199</v>
      </c>
      <c r="B15" s="82" t="s">
        <v>200</v>
      </c>
      <c r="C15" s="77"/>
      <c r="D15" s="77"/>
    </row>
    <row r="16" spans="1:4" ht="18" customHeight="1" x14ac:dyDescent="0.3">
      <c r="A16" s="19" t="s">
        <v>201</v>
      </c>
      <c r="B16" s="84" t="s">
        <v>202</v>
      </c>
      <c r="C16" s="77"/>
      <c r="D16" s="77"/>
    </row>
    <row r="18" spans="1:4" ht="19.95" customHeight="1" x14ac:dyDescent="0.3">
      <c r="A18" s="83" t="s">
        <v>203</v>
      </c>
      <c r="B18" s="77"/>
      <c r="C18" s="77"/>
      <c r="D18" s="77"/>
    </row>
    <row r="19" spans="1:4" ht="18" customHeight="1" x14ac:dyDescent="0.3">
      <c r="A19" s="18" t="s">
        <v>204</v>
      </c>
      <c r="B19" s="82" t="s">
        <v>205</v>
      </c>
      <c r="C19" s="77"/>
      <c r="D19" s="77"/>
    </row>
    <row r="20" spans="1:4" ht="18" customHeight="1" x14ac:dyDescent="0.3">
      <c r="A20" s="19" t="s">
        <v>206</v>
      </c>
      <c r="B20" s="84" t="s">
        <v>207</v>
      </c>
      <c r="C20" s="77"/>
      <c r="D20" s="77"/>
    </row>
    <row r="21" spans="1:4" ht="18" customHeight="1" x14ac:dyDescent="0.3">
      <c r="A21" s="18" t="s">
        <v>208</v>
      </c>
      <c r="B21" s="82" t="s">
        <v>209</v>
      </c>
      <c r="C21" s="77"/>
      <c r="D21" s="77"/>
    </row>
    <row r="22" spans="1:4" ht="18" customHeight="1" x14ac:dyDescent="0.3">
      <c r="A22" s="19" t="s">
        <v>210</v>
      </c>
      <c r="B22" s="84" t="s">
        <v>211</v>
      </c>
      <c r="C22" s="77"/>
      <c r="D22" s="77"/>
    </row>
    <row r="23" spans="1:4" ht="18" customHeight="1" x14ac:dyDescent="0.3">
      <c r="A23" s="18" t="s">
        <v>212</v>
      </c>
      <c r="B23" s="82" t="s">
        <v>213</v>
      </c>
      <c r="C23" s="77"/>
      <c r="D23" s="77"/>
    </row>
    <row r="25" spans="1:4" ht="19.95" customHeight="1" x14ac:dyDescent="0.3">
      <c r="A25" s="83" t="s">
        <v>214</v>
      </c>
      <c r="B25" s="77"/>
      <c r="C25" s="77"/>
      <c r="D25" s="77"/>
    </row>
    <row r="26" spans="1:4" ht="18" customHeight="1" x14ac:dyDescent="0.3">
      <c r="A26" s="18" t="s">
        <v>215</v>
      </c>
      <c r="B26" s="82" t="s">
        <v>216</v>
      </c>
      <c r="C26" s="77"/>
      <c r="D26" s="77"/>
    </row>
    <row r="27" spans="1:4" ht="18" customHeight="1" x14ac:dyDescent="0.3">
      <c r="A27" s="19" t="s">
        <v>217</v>
      </c>
      <c r="B27" s="84" t="s">
        <v>218</v>
      </c>
      <c r="C27" s="77"/>
      <c r="D27" s="77"/>
    </row>
    <row r="28" spans="1:4" ht="18" customHeight="1" x14ac:dyDescent="0.3">
      <c r="A28" s="18" t="s">
        <v>219</v>
      </c>
      <c r="B28" s="82" t="s">
        <v>220</v>
      </c>
      <c r="C28" s="77"/>
      <c r="D28" s="77"/>
    </row>
    <row r="29" spans="1:4" ht="18" customHeight="1" x14ac:dyDescent="0.3">
      <c r="A29" s="19" t="s">
        <v>221</v>
      </c>
      <c r="B29" s="84" t="s">
        <v>222</v>
      </c>
      <c r="C29" s="77"/>
      <c r="D29" s="77"/>
    </row>
    <row r="30" spans="1:4" ht="18" customHeight="1" x14ac:dyDescent="0.3">
      <c r="A30" s="18" t="s">
        <v>223</v>
      </c>
      <c r="B30" s="82" t="s">
        <v>224</v>
      </c>
      <c r="C30" s="77"/>
      <c r="D30" s="77"/>
    </row>
    <row r="32" spans="1:4" ht="19.95" customHeight="1" x14ac:dyDescent="0.3">
      <c r="A32" s="83" t="s">
        <v>225</v>
      </c>
      <c r="B32" s="77"/>
      <c r="C32" s="77"/>
      <c r="D32" s="77"/>
    </row>
    <row r="33" spans="1:4" ht="18" customHeight="1" x14ac:dyDescent="0.3">
      <c r="A33" s="18" t="s">
        <v>226</v>
      </c>
      <c r="B33" s="82" t="s">
        <v>227</v>
      </c>
      <c r="C33" s="77"/>
      <c r="D33" s="77"/>
    </row>
    <row r="34" spans="1:4" ht="18" customHeight="1" x14ac:dyDescent="0.3">
      <c r="A34" s="19" t="s">
        <v>228</v>
      </c>
      <c r="B34" s="84" t="s">
        <v>229</v>
      </c>
      <c r="C34" s="77"/>
      <c r="D34" s="77"/>
    </row>
    <row r="35" spans="1:4" ht="18" customHeight="1" x14ac:dyDescent="0.3">
      <c r="A35" s="18" t="s">
        <v>230</v>
      </c>
      <c r="B35" s="82" t="s">
        <v>231</v>
      </c>
      <c r="C35" s="77"/>
      <c r="D35" s="77"/>
    </row>
    <row r="36" spans="1:4" ht="18" customHeight="1" x14ac:dyDescent="0.3">
      <c r="A36" s="19" t="s">
        <v>232</v>
      </c>
      <c r="B36" s="84" t="s">
        <v>233</v>
      </c>
      <c r="C36" s="77"/>
      <c r="D36" s="77"/>
    </row>
    <row r="37" spans="1:4" ht="18" customHeight="1" x14ac:dyDescent="0.3">
      <c r="A37" s="18" t="s">
        <v>234</v>
      </c>
      <c r="B37" s="82" t="s">
        <v>235</v>
      </c>
      <c r="C37" s="77"/>
      <c r="D37" s="77"/>
    </row>
    <row r="38" spans="1:4" ht="18" customHeight="1" x14ac:dyDescent="0.3">
      <c r="A38" s="19" t="s">
        <v>236</v>
      </c>
      <c r="B38" s="84" t="s">
        <v>237</v>
      </c>
      <c r="C38" s="77"/>
      <c r="D38" s="77"/>
    </row>
    <row r="39" spans="1:4" ht="18" customHeight="1" x14ac:dyDescent="0.3">
      <c r="A39" s="18" t="s">
        <v>238</v>
      </c>
      <c r="B39" s="82" t="s">
        <v>239</v>
      </c>
      <c r="C39" s="77"/>
      <c r="D39" s="77"/>
    </row>
  </sheetData>
  <mergeCells count="34">
    <mergeCell ref="A4:D4"/>
    <mergeCell ref="B8:D8"/>
    <mergeCell ref="B13:D13"/>
    <mergeCell ref="B6:D6"/>
    <mergeCell ref="B29:D29"/>
    <mergeCell ref="A10:D10"/>
    <mergeCell ref="B15:D15"/>
    <mergeCell ref="B11:D11"/>
    <mergeCell ref="B14:D14"/>
    <mergeCell ref="B38:D38"/>
    <mergeCell ref="B34:D34"/>
    <mergeCell ref="B28:D28"/>
    <mergeCell ref="B19:D19"/>
    <mergeCell ref="B37:D37"/>
    <mergeCell ref="B30:D30"/>
    <mergeCell ref="B20:D20"/>
    <mergeCell ref="B33:D33"/>
    <mergeCell ref="B23:D23"/>
    <mergeCell ref="B39:D39"/>
    <mergeCell ref="A32:D32"/>
    <mergeCell ref="A1:D1"/>
    <mergeCell ref="B5:D5"/>
    <mergeCell ref="B36:D36"/>
    <mergeCell ref="B35:D35"/>
    <mergeCell ref="B26:D26"/>
    <mergeCell ref="A25:D25"/>
    <mergeCell ref="B7:D7"/>
    <mergeCell ref="B16:D16"/>
    <mergeCell ref="A18:D18"/>
    <mergeCell ref="B22:D22"/>
    <mergeCell ref="B27:D27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KPI_Calidad</vt:lpstr>
      <vt:lpstr>KPI_Cliente</vt:lpstr>
      <vt:lpstr>KPI_HSE</vt:lpstr>
      <vt:lpstr>Acciones_Correctivas</vt:lpstr>
      <vt:lpstr>Avance_ISO9001</vt:lpstr>
      <vt:lpstr>Detalle_Acciones_HSE</vt:lpstr>
      <vt:lpstr>Guía_PowerBI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2026-03-24T02:08:16Z</dcterms:created>
  <dcterms:modified xsi:type="dcterms:W3CDTF">2026-03-28T07:01:53Z</dcterms:modified>
</cp:coreProperties>
</file>